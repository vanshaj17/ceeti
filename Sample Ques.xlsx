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45" windowWidth="14355" windowHeight="7440"/>
  </bookViews>
  <sheets>
    <sheet name="Question Set" sheetId="3" r:id="rId1"/>
    <sheet name="Dia for Row 31" sheetId="4" r:id="rId2"/>
    <sheet name="Dia for Row 33" sheetId="5" r:id="rId3"/>
    <sheet name="Dia for Row 34" sheetId="6" r:id="rId4"/>
    <sheet name="(Informatica+Cognos) " sheetId="2" r:id="rId5"/>
  </sheets>
  <definedNames>
    <definedName name="_xlnm._FilterDatabase" localSheetId="4" hidden="1">'(Informatica+Cognos) '!$F$5:$I$64</definedName>
    <definedName name="_xlnm._FilterDatabase" localSheetId="0" hidden="1">'Question Set'!$A$1:$P$50</definedName>
  </definedNames>
  <calcPr calcId="144525"/>
</workbook>
</file>

<file path=xl/calcChain.xml><?xml version="1.0" encoding="utf-8"?>
<calcChain xmlns="http://schemas.openxmlformats.org/spreadsheetml/2006/main">
  <c r="E50" i="2" l="1"/>
  <c r="E51" i="2"/>
  <c r="E52" i="2"/>
  <c r="C52" i="2" s="1"/>
  <c r="E53" i="2"/>
  <c r="E54" i="2"/>
  <c r="D50" i="2"/>
  <c r="C50" i="2" s="1"/>
  <c r="D51" i="2"/>
  <c r="C51" i="2" s="1"/>
  <c r="D52" i="2"/>
  <c r="D53" i="2"/>
  <c r="C53" i="2" s="1"/>
  <c r="D54" i="2"/>
  <c r="C54" i="2" s="1"/>
  <c r="D49" i="2"/>
  <c r="I52" i="2"/>
  <c r="G53" i="2"/>
  <c r="G52" i="2"/>
  <c r="G49" i="2"/>
  <c r="E49" i="2" s="1"/>
  <c r="D45" i="2"/>
  <c r="E45" i="2"/>
  <c r="E43" i="2"/>
  <c r="C43" i="2" s="1"/>
  <c r="E44" i="2"/>
  <c r="E42" i="2"/>
  <c r="D43" i="2"/>
  <c r="D44" i="2"/>
  <c r="C44" i="2" s="1"/>
  <c r="D42" i="2"/>
  <c r="C42" i="2" s="1"/>
  <c r="C46" i="2" s="1"/>
  <c r="C45" i="2"/>
  <c r="D29" i="2"/>
  <c r="D30" i="2"/>
  <c r="C30" i="2" s="1"/>
  <c r="E30" i="2"/>
  <c r="I63" i="2"/>
  <c r="H63" i="2"/>
  <c r="G63" i="2"/>
  <c r="F63" i="2"/>
  <c r="E60" i="2"/>
  <c r="D60" i="2"/>
  <c r="C60" i="2" s="1"/>
  <c r="C63" i="2" s="1"/>
  <c r="E59" i="2"/>
  <c r="E63" i="2"/>
  <c r="D59" i="2"/>
  <c r="E58" i="2"/>
  <c r="D58" i="2"/>
  <c r="D63" i="2"/>
  <c r="I25" i="2"/>
  <c r="H25" i="2"/>
  <c r="G25" i="2"/>
  <c r="F25" i="2"/>
  <c r="F64" i="2" s="1"/>
  <c r="E24" i="2"/>
  <c r="D24" i="2"/>
  <c r="E23" i="2"/>
  <c r="C23" i="2"/>
  <c r="D23" i="2"/>
  <c r="E22" i="2"/>
  <c r="D22" i="2"/>
  <c r="C22" i="2"/>
  <c r="E21" i="2"/>
  <c r="D21" i="2"/>
  <c r="E19" i="2"/>
  <c r="D19" i="2"/>
  <c r="C19" i="2" s="1"/>
  <c r="E18" i="2"/>
  <c r="D18" i="2"/>
  <c r="E17" i="2"/>
  <c r="D17" i="2"/>
  <c r="C17" i="2" s="1"/>
  <c r="E16" i="2"/>
  <c r="C16" i="2"/>
  <c r="D16" i="2"/>
  <c r="E15" i="2"/>
  <c r="D15" i="2"/>
  <c r="E14" i="2"/>
  <c r="C14" i="2" s="1"/>
  <c r="D14" i="2"/>
  <c r="E13" i="2"/>
  <c r="D13" i="2"/>
  <c r="C13" i="2" s="1"/>
  <c r="E12" i="2"/>
  <c r="D12" i="2"/>
  <c r="C12" i="2"/>
  <c r="E10" i="2"/>
  <c r="D10" i="2"/>
  <c r="C10" i="2"/>
  <c r="E9" i="2"/>
  <c r="E25" i="2" s="1"/>
  <c r="D9" i="2"/>
  <c r="C9" i="2" s="1"/>
  <c r="E8" i="2"/>
  <c r="D8" i="2"/>
  <c r="C8" i="2" s="1"/>
  <c r="I55" i="2"/>
  <c r="H55" i="2"/>
  <c r="F55" i="2"/>
  <c r="I46" i="2"/>
  <c r="H46" i="2"/>
  <c r="G46" i="2"/>
  <c r="F46" i="2"/>
  <c r="E46" i="2"/>
  <c r="I39" i="2"/>
  <c r="I64" i="2" s="1"/>
  <c r="E38" i="2"/>
  <c r="D38" i="2"/>
  <c r="C38" i="2"/>
  <c r="E37" i="2"/>
  <c r="C37" i="2" s="1"/>
  <c r="D37" i="2"/>
  <c r="E36" i="2"/>
  <c r="D36" i="2"/>
  <c r="C36" i="2" s="1"/>
  <c r="E35" i="2"/>
  <c r="D35" i="2"/>
  <c r="E34" i="2"/>
  <c r="D34" i="2"/>
  <c r="E33" i="2"/>
  <c r="D33" i="2"/>
  <c r="C33" i="2" s="1"/>
  <c r="E32" i="2"/>
  <c r="D32" i="2"/>
  <c r="C32" i="2" s="1"/>
  <c r="E29" i="2"/>
  <c r="C29" i="2"/>
  <c r="H28" i="2"/>
  <c r="H39" i="2" s="1"/>
  <c r="H64" i="2" s="1"/>
  <c r="G28" i="2"/>
  <c r="G39" i="2" s="1"/>
  <c r="E28" i="2"/>
  <c r="F28" i="2"/>
  <c r="D28" i="2" s="1"/>
  <c r="F39" i="2"/>
  <c r="E27" i="2"/>
  <c r="E39" i="2" s="1"/>
  <c r="D27" i="2"/>
  <c r="C27" i="2"/>
  <c r="C34" i="2"/>
  <c r="C15" i="2"/>
  <c r="C24" i="2"/>
  <c r="C59" i="2"/>
  <c r="C35" i="2"/>
  <c r="C18" i="2"/>
  <c r="C21" i="2"/>
  <c r="D25" i="2"/>
  <c r="C58" i="2"/>
  <c r="D39" i="2" l="1"/>
  <c r="C28" i="2"/>
  <c r="C39" i="2" s="1"/>
  <c r="E55" i="2"/>
  <c r="E64" i="2" s="1"/>
  <c r="C49" i="2"/>
  <c r="C55" i="2" s="1"/>
  <c r="C25" i="2"/>
  <c r="D55" i="2"/>
  <c r="D46" i="2"/>
  <c r="G55" i="2"/>
  <c r="G64" i="2" s="1"/>
  <c r="D64" i="2" l="1"/>
  <c r="C64" i="2"/>
</calcChain>
</file>

<file path=xl/sharedStrings.xml><?xml version="1.0" encoding="utf-8"?>
<sst xmlns="http://schemas.openxmlformats.org/spreadsheetml/2006/main" count="682" uniqueCount="337">
  <si>
    <t>Topic/Sub-Topic</t>
  </si>
  <si>
    <t>Total</t>
  </si>
  <si>
    <t>Module 1</t>
  </si>
  <si>
    <t>Module 1 Total</t>
  </si>
  <si>
    <t>Module 5</t>
  </si>
  <si>
    <t>Introduction to Software Engineering</t>
  </si>
  <si>
    <t>Life Cycle Models</t>
  </si>
  <si>
    <t>Quality Process Awareness</t>
  </si>
  <si>
    <t>Module 5 Total</t>
  </si>
  <si>
    <t>Programming Foundation with Pseudocode</t>
  </si>
  <si>
    <t>Testing Phase</t>
  </si>
  <si>
    <t>Configuration Management Process</t>
  </si>
  <si>
    <t>UNIX</t>
  </si>
  <si>
    <t>Module 2</t>
  </si>
  <si>
    <t>ETL Basics</t>
  </si>
  <si>
    <t>Informatica</t>
  </si>
  <si>
    <t xml:space="preserve">PowerCenter Designer </t>
  </si>
  <si>
    <t>Transformations</t>
  </si>
  <si>
    <t>Mapplets</t>
  </si>
  <si>
    <t>Workflow and Session Log</t>
  </si>
  <si>
    <t xml:space="preserve">Additional Transformations </t>
  </si>
  <si>
    <t xml:space="preserve">Workflow Tasks </t>
  </si>
  <si>
    <t>Mapping Parameters and Mapping Variables</t>
  </si>
  <si>
    <t>Module 2 Total</t>
  </si>
  <si>
    <t>Module 3</t>
  </si>
  <si>
    <t>Module 3 Total</t>
  </si>
  <si>
    <t>Module 4</t>
  </si>
  <si>
    <t>Module 4 Total</t>
  </si>
  <si>
    <t>Teradata Basics</t>
  </si>
  <si>
    <t>Cognos</t>
  </si>
  <si>
    <t>Beginner</t>
  </si>
  <si>
    <t>Expert</t>
  </si>
  <si>
    <t>Code</t>
  </si>
  <si>
    <t>Concept</t>
  </si>
  <si>
    <t>Remarks</t>
  </si>
  <si>
    <t>Simple Questions: 60%</t>
  </si>
  <si>
    <t>Complex Questions: 40%</t>
  </si>
  <si>
    <t>Concept Based: 60%</t>
  </si>
  <si>
    <t>Code Based: 40%</t>
  </si>
  <si>
    <t xml:space="preserve">MR type questions must come under Complex Category </t>
  </si>
  <si>
    <t>L1 Grid for BI (Informatica + Cognos) LOT</t>
  </si>
  <si>
    <t>Good Programming Practices</t>
  </si>
  <si>
    <t>Software Reviews and Testing</t>
  </si>
  <si>
    <t>Exception Handling</t>
  </si>
  <si>
    <t>Oracle</t>
  </si>
  <si>
    <t>DML</t>
  </si>
  <si>
    <t>Cursors</t>
  </si>
  <si>
    <t>Procedures and Functions</t>
  </si>
  <si>
    <t>Database Objects</t>
  </si>
  <si>
    <t>PL/SQL Basics</t>
  </si>
  <si>
    <t>Basic UNIX Command, Tools, Utilities</t>
  </si>
  <si>
    <t>Overview of the "vi" editor and SED</t>
  </si>
  <si>
    <t>UNIX File System</t>
  </si>
  <si>
    <t>Shell Scripting</t>
  </si>
  <si>
    <t>QMS</t>
  </si>
  <si>
    <t>Data Warehouse Concepts</t>
  </si>
  <si>
    <t>Data Modeling for Business Intelligence</t>
  </si>
  <si>
    <t>Software Testing for  BI</t>
  </si>
  <si>
    <t>Overview of Teradata</t>
  </si>
  <si>
    <t>Primary Index</t>
  </si>
  <si>
    <t>Teradata Utilities</t>
  </si>
  <si>
    <t>Introduction to cognos/Cognos Connection</t>
  </si>
  <si>
    <t>Query Studio</t>
  </si>
  <si>
    <t xml:space="preserve">Cognos Anaytics </t>
  </si>
  <si>
    <t>Analysis Studio/Event Studio/Cognos Workspace</t>
  </si>
  <si>
    <t>Security/Cognos Adminstration</t>
  </si>
  <si>
    <t>Framework Manager</t>
  </si>
  <si>
    <t xml:space="preserve">Q type </t>
  </si>
  <si>
    <t>Level</t>
  </si>
  <si>
    <t>Category</t>
  </si>
  <si>
    <t>Skill</t>
  </si>
  <si>
    <t>SubSkill</t>
  </si>
  <si>
    <t>Topic</t>
  </si>
  <si>
    <t>Q text</t>
  </si>
  <si>
    <t>Option/ Answer 1</t>
  </si>
  <si>
    <t>Option/ Answer 2</t>
  </si>
  <si>
    <t>Option/ Answer 3</t>
  </si>
  <si>
    <t>Option/ Answer 4</t>
  </si>
  <si>
    <t>Option/ Answer 5</t>
  </si>
  <si>
    <t>Option/ Answer 6</t>
  </si>
  <si>
    <t>Correct Answer</t>
  </si>
  <si>
    <t>Randomize options</t>
  </si>
  <si>
    <t>Single</t>
  </si>
  <si>
    <t>BI (I&amp;D)</t>
  </si>
  <si>
    <t>None</t>
  </si>
  <si>
    <t>Coding</t>
  </si>
  <si>
    <t>Single Row Group Functions</t>
  </si>
  <si>
    <t>Joins and Subqueries</t>
  </si>
  <si>
    <t>Multiple</t>
  </si>
  <si>
    <t>SQL</t>
  </si>
  <si>
    <t>None of the above</t>
  </si>
  <si>
    <t>PowerCenter Designer</t>
  </si>
  <si>
    <t>None of these</t>
  </si>
  <si>
    <t>1,3</t>
  </si>
  <si>
    <t xml:space="preserve">Which tab would you use to view the field description of the selected source table from the Edit table 
dialog box in the Source Analyzer?
</t>
  </si>
  <si>
    <t>Metadata Extension - tab</t>
  </si>
  <si>
    <t>Table - tab</t>
  </si>
  <si>
    <t>Columns - tab</t>
  </si>
  <si>
    <t>Rows - tab</t>
  </si>
  <si>
    <t xml:space="preserve">Consider the following scenario.
The Source table is  Relational table with duplicate records. We  want  to eliminate duplicate records, 
while loading data in target .
Which of these is the correct option to do this?
</t>
  </si>
  <si>
    <t xml:space="preserve">Create  a stored procedure in the database, which deletes duplicate rows. Create a stored procedure 
transformation which invokes this stored procedure and link the stored procedure transformation
to the target table
</t>
  </si>
  <si>
    <t xml:space="preserve">None of these
</t>
  </si>
  <si>
    <t xml:space="preserve">Which is the Informatica transformation that cannot join two tables?
</t>
  </si>
  <si>
    <t>Joiner</t>
  </si>
  <si>
    <t>Lookup</t>
  </si>
  <si>
    <t>Sorter</t>
  </si>
  <si>
    <t>Source Qualifier</t>
  </si>
  <si>
    <t>Full outer join</t>
  </si>
  <si>
    <t>Master outer join</t>
  </si>
  <si>
    <t>Detail outer join</t>
  </si>
  <si>
    <t>Normal join</t>
  </si>
  <si>
    <r>
      <t xml:space="preserve">Considering the below table data:
Considering the below SQL statement, identify the Join type in Informatica:
SELECT * FROM PARTS_SIZE LEFT OUTER JOIN PARTS_COLOR ON (PARTS_SIZE.PART_ID1 = PARTS_COLOR.PART_ID2)
</t>
    </r>
    <r>
      <rPr>
        <b/>
        <u/>
        <sz val="10"/>
        <color indexed="10"/>
        <rFont val="Trebuchet MS"/>
        <family val="2"/>
      </rPr>
      <t xml:space="preserve">
Show Sheet Dia for Row 31</t>
    </r>
  </si>
  <si>
    <t xml:space="preserve">1. Create Stored Procedure Transformation in the mapping.
2.  Create a new Output port that calls stored procedure.
3. Open the Expression Editor for that Output port and write below expression:
:SP.proc_GetEmployeeName()
4. Click Validate to verify the expression
5. Save changes to repository
</t>
  </si>
  <si>
    <t xml:space="preserve">1. Create Stored Procedure Transformation in the mapping.
2. Re-import Store Procedure from database to mapping
3.  Create a new Output port that calls stored procedure.
4. Open the Expression Editor for that Output port and write below expression:
:SP.proc_GetEmployeeName(PROC_RESULT)
5 Save changes to repository
</t>
  </si>
  <si>
    <t xml:space="preserve">1. Create Stored Procedure Transformation in the mapping.
2.  Create a new Output port that calls stored procedure.
3. Open the Expression Editor for that Output port and write below expression:
:SP.proc_GetEmployeeName(Empno, Deptno,Proc_result)
4. Click Validate to verify the expression
5. Save changes to repository
</t>
  </si>
  <si>
    <t xml:space="preserve">While configuring an Unconnected Stored Procedure transformation wherein we need to call 
stored procedure in an expression, identify the correct set of steps to implement.
Consider, stored procedure name is proc_GetEmployeeName with one input parameter 
i.e. EmpNo and returns three output parameters viz Deptno, Sal and Comm.
Also, we have created variables for each output parameter.
</t>
  </si>
  <si>
    <t xml:space="preserve">1. Create Stored Procedure Transformation in the mapping.
2. Create a new Output port for Deptno that calls stored procedure.
3. Open the Expression Editor for that Output port and write below expression:
:SP.proc_GetEmployeeName(Empno,PROC_RESULT,Sal,Comm)
4. Click Validate to verify the expression
5. Save changes to repository
</t>
  </si>
  <si>
    <t xml:space="preserve">Select 'Sorted Input' if the data is already sorted in Sql Override for relation database or using Sorter 
transformation before passing to Joiner transformation. If data is not sorted then do not select it.
</t>
  </si>
  <si>
    <t xml:space="preserve">Select the Join Type: Normal
</t>
  </si>
  <si>
    <t xml:space="preserve">Select Matching Null =True
</t>
  </si>
  <si>
    <t xml:space="preserve">Go to the 'Ports' tab for conditional columns and set Join Condition:DEPTNO1=DEPTNO
</t>
  </si>
  <si>
    <t>1,2</t>
  </si>
  <si>
    <r>
      <t xml:space="preserve">See the given scenario. We have two sources as EMP and DEPT. Here, we need to use Joiner 
transformation to populate the target such that Integration service should discard all rows of data 
from master and detail that do not match, based on the condition.
Identify the correct statements related to Joiner Transformation to fulfill this requirement in optimized way.
</t>
    </r>
    <r>
      <rPr>
        <b/>
        <u/>
        <sz val="10"/>
        <color indexed="10"/>
        <rFont val="Trebuchet MS"/>
        <family val="2"/>
      </rPr>
      <t>Show Sheet Dia for Row 33</t>
    </r>
  </si>
  <si>
    <t xml:space="preserve">In Designer, click on Transformation -&gt; Create-&gt;Select the transformation type to create -&gt; Normalizer
and access COBOL sources successfully in the mapplet.
</t>
  </si>
  <si>
    <t xml:space="preserve">You cannot include the Normalizer transformations in a mapplet:
</t>
  </si>
  <si>
    <t xml:space="preserve">After trying to add target definition in mapplet, we get the error as 'Target Definition Transformations 
may not be created in the mapplet'
</t>
  </si>
  <si>
    <t xml:space="preserve">The given mapplet is correct and will successfully load data into target table using EMP table and Cobol source.
</t>
  </si>
  <si>
    <t>2,3</t>
  </si>
  <si>
    <r>
      <t xml:space="preserve">See the given scenario. We have mapplet with output transformation along with the 
Source (EMP from rdbms), Source Qualifier and Aggregator Transformation. 
Now, in order to access legacy files from COBOL Sources and load those records into target table,  
suggest the required changes in the given mapplet. 
The Proposed mapplet design should look like:
</t>
    </r>
    <r>
      <rPr>
        <b/>
        <u/>
        <sz val="10"/>
        <color indexed="10"/>
        <rFont val="Trebuchet MS"/>
        <family val="2"/>
      </rPr>
      <t>Show Sheet Dia for Row 34</t>
    </r>
  </si>
  <si>
    <t xml:space="preserve">Assume that you have specified "C:\WFC_S_LOGS\" in the server variable $PMSessionLogDir in Informatica. 
What would happen if the said folder does not exist in the server where the Integration service runs?
</t>
  </si>
  <si>
    <t xml:space="preserve">The Integration Service prompts the user to provide the confirmation to create the specified folder 
during the Workflow execution and then logs the information in the default session log file name.
</t>
  </si>
  <si>
    <t xml:space="preserve">The workflow will fail.
</t>
  </si>
  <si>
    <t xml:space="preserve">The Integration Service creates the said folder during the Workflow execution and then logs the 
information in the default session log file name.
</t>
  </si>
  <si>
    <t xml:space="preserve">When a ______ Transformation is used in a mapping, the Integration service processes the incoming 
data only once.
</t>
  </si>
  <si>
    <t>Filter</t>
  </si>
  <si>
    <t>Router</t>
  </si>
  <si>
    <t>Union</t>
  </si>
  <si>
    <t>None of the Above</t>
  </si>
  <si>
    <t xml:space="preserve">Identify the correct statement regarding sorter transformation in Informatica Powercenter?
</t>
  </si>
  <si>
    <t>The Sorter Transformation can sort data from relational tables or flat files</t>
  </si>
  <si>
    <t xml:space="preserve"> Multiple sort keys are not supported</t>
  </si>
  <si>
    <t>The Sorter Transformation is often more efficient than a sort performed on a database with an ORDER BY clause</t>
  </si>
  <si>
    <t>The Sorter Transformation can also be used to sort data passing through an Aggregator Transformation 
configured to use sorted input</t>
  </si>
  <si>
    <t>1,3,4</t>
  </si>
  <si>
    <t xml:space="preserve">Consider the following scenario. An oracle table has the following structure:
Emp_Id, Salary, Dept_ID
There can be multiple employees in a department:
You need to  to load the target table with top 2 earners (employees) in each department.
How can this be done.
</t>
  </si>
  <si>
    <t xml:space="preserve">Drag the Source Qualifier transformation to  a Rank Transformation. In the Rank Transformation, 
Check the rank (R) option for the Dept_ID port and Group By option for the Salary port.  
Drag the salary and Dept_ID to the Target table.
</t>
  </si>
  <si>
    <t xml:space="preserve">Drag the Source Qualifier transformation to  an Aggregator Transformation.
In the  Aggregator Transformation, Group By option for the Salary port.
Drag the salary and Dept_ID to the Target table.
</t>
  </si>
  <si>
    <t xml:space="preserve">Drag the Source Qualifier transformation to  an Aggregator Transformation.
In the  Aggregator Transformation, Group By option for the Dept_ID port.
Drag the salary and Dept_ID to the Target table.
</t>
  </si>
  <si>
    <t xml:space="preserve">Which is the correct command to start the workflow using command line mode for loading the 
orders data from the Head-office database using the below information?                                                                                 
Workflow Name: wf_Update_orders
Integration Service name: IKPELT15
Domain Name: ARLINFORMATICA
UserId &amp; Pwd: TRG1
FolderName: TRG1FLD
</t>
  </si>
  <si>
    <t xml:space="preserve">D:\Informatica\server\bin&gt;pmcmd startworkflow -sv  IKPELT15 -d ARLINFORMATICA -u 
TRG1 -p TRG1 -f TRG1FLD wf_Update_orders
</t>
  </si>
  <si>
    <t xml:space="preserve">D:\Informatica\server\bin&gt;pmcmd startworkflow -sv  IKPELT15 -f TRG1FLD wf_Update_orders
</t>
  </si>
  <si>
    <t xml:space="preserve">D:\Informatica\server\bin&gt;pmcmd startworkflow -sv  IKPELT15 -d ARLINFORMATICA -u 
TRG1 -p TRG1 wf_Update_orders
</t>
  </si>
  <si>
    <t xml:space="preserve">D:\Informatica\server\bin&gt;pmcmd startworkflow -d ARLINFORMATICA -u
TRG1 -p TRG1 -f TRG1FLD wf_Update_orders
</t>
  </si>
  <si>
    <t xml:space="preserve">Identify the workflow tasks in Informatica which can use the events?
</t>
  </si>
  <si>
    <t>Event wait task</t>
  </si>
  <si>
    <t>Predefined event task</t>
  </si>
  <si>
    <t>Event Raise task</t>
  </si>
  <si>
    <t>User Defined event task</t>
  </si>
  <si>
    <t xml:space="preserve">_________ variable function is used to set mapping variable to the configured value.
</t>
  </si>
  <si>
    <t>SetMapVariable</t>
  </si>
  <si>
    <t>MappingSetVariable</t>
  </si>
  <si>
    <t>SetMappingVar</t>
  </si>
  <si>
    <t>SetVariable</t>
  </si>
  <si>
    <t xml:space="preserve">A ___________ represents a constant value that you can define before running a session, 
but _________ represents a value that can change through the session.
</t>
  </si>
  <si>
    <t>Mapping variables,  Mapping Parameters</t>
  </si>
  <si>
    <t>Mapping Parameters, Mapping variables</t>
  </si>
  <si>
    <t>Variable Mapping,Variable Parameters</t>
  </si>
  <si>
    <t>Oldest query is aborted.</t>
  </si>
  <si>
    <t>Youngest query is aborted.</t>
  </si>
  <si>
    <t>Query waits for deadlock to resolve.</t>
  </si>
  <si>
    <t>Dispatcher identifies which query to hold and waits for completion of deadlocking query.</t>
  </si>
  <si>
    <t>What happens to a submitted Teradata query when a deadlock occurs?</t>
  </si>
  <si>
    <t>Merge Join</t>
  </si>
  <si>
    <t>Product Join</t>
  </si>
  <si>
    <t>Exclusion Merge Join</t>
  </si>
  <si>
    <t>All the Above</t>
  </si>
  <si>
    <t xml:space="preserve">LOCKING ROW FOR ACCESS </t>
  </si>
  <si>
    <t xml:space="preserve">LOCKING ROW FOR WRITE </t>
  </si>
  <si>
    <t xml:space="preserve">LOCKING table 1 FOR ACCESS </t>
  </si>
  <si>
    <t xml:space="preserve">Which of the Teradata statements didn't allow the user to avoid waiting for a write lock currently on a table? </t>
  </si>
  <si>
    <t>Both 1 and 2 options</t>
  </si>
  <si>
    <t>.SET SEPARATOR ’ | ’
SELECT * FROM department;
enter:
CREATE MACRO deptdisplay AS
( ECHO ’.SET SEPARATOR ’’ | ’’ ’
;SELECT * FROM department;
);</t>
  </si>
  <si>
    <t>.SET SEPARATOR ’ | ’
SELECT * FROM department;
enter:
CREATE MACRO deptdisplay AS
( .SET SEPARATOR ’’ | ’’ ’
;SELECT * FROM department;
);</t>
  </si>
  <si>
    <t>.SET SEPARATOR ’ | ’
SELECT * FROM department;
CREATE MACRO deptdisplay AS
( ECHO ’.SET SEPARATOR ’’ | ’’ ’
;SELECT * FROM department;
);</t>
  </si>
  <si>
    <t>.SET SEPARATOR ’ | ’
SELECT * FROM department;
enter:
CREATE MACRO deptdisplay AS
( ECHO ’.SET  TEXT ’’ | ’’ ’
;SELECT * FROM department;
);</t>
  </si>
  <si>
    <t>CREATE PROCEDURE samplesp1 ()
/* SPL Statements*/
DECLARE V1 INTEGER;
BEGIN
SET V1 = 100;
END;</t>
  </si>
  <si>
    <t>CREATE PROCEDURE samplesp1 ()
BEGIN
/* SPL Statements*/
DECLARE V1 INTEGER;
SET V1 = 100;
END;</t>
  </si>
  <si>
    <t>CREATE PROCEDURE samplesp1 ()
SET V1 = 100;
BEGIN
/* SPL Statements*/
DECLARE V1 INTEGER;
END;</t>
  </si>
  <si>
    <t xml:space="preserve">CREATE TABLE Test1 AS (SELECT * FROM Test2) WITH NO DATA; </t>
  </si>
  <si>
    <t xml:space="preserve">CREATE TABLE Test2 AS Test1; </t>
  </si>
  <si>
    <t xml:space="preserve">CREATE TABLE Test1 AS Test2 WITHOUT DATA; </t>
  </si>
  <si>
    <t xml:space="preserve">CREATE TABLE Test1 AS Test2 WITH NO DATA; </t>
  </si>
  <si>
    <t xml:space="preserve">Use multi-request transactions 
</t>
  </si>
  <si>
    <t xml:space="preserve">Use more sessions 
</t>
  </si>
  <si>
    <t xml:space="preserve">Very non-unique values can not cause premature "database full" conditions. 
</t>
  </si>
  <si>
    <t xml:space="preserve">CHAR_COUNT </t>
  </si>
  <si>
    <t xml:space="preserve">COUNT </t>
  </si>
  <si>
    <t xml:space="preserve">CHARACTERS </t>
  </si>
  <si>
    <t>SUBSTR</t>
  </si>
  <si>
    <t xml:space="preserve">SELECT last_name, department_number from employee WHERE DEPARTMENT_NUMBER = 501 OR 503;
</t>
  </si>
  <si>
    <t xml:space="preserve">SELECT last_name, department_number from employee WHERE department_number IN 501 or 503;
</t>
  </si>
  <si>
    <t xml:space="preserve">SELECT last_name, department_number from employee WHERE department_number IN (501, 503);
</t>
  </si>
  <si>
    <t xml:space="preserve">SELECT last_name, department_number from employee WHERE department_number BETWEEN 501, 503;
</t>
  </si>
  <si>
    <t xml:space="preserve">Which two Teradata symbols serve as wildcards in the string expression of the LIKE operator? </t>
  </si>
  <si>
    <t xml:space="preserve"> &amp; and % </t>
  </si>
  <si>
    <t xml:space="preserve"> $ and % </t>
  </si>
  <si>
    <t xml:space="preserve"> _ and % </t>
  </si>
  <si>
    <t xml:space="preserve"> _ and $ </t>
  </si>
  <si>
    <t>TPump</t>
  </si>
  <si>
    <t>MultiLoad</t>
  </si>
  <si>
    <t xml:space="preserve">TPT using the Stream Operator </t>
  </si>
  <si>
    <t>BTEQ</t>
  </si>
  <si>
    <t>Create a Distribution List</t>
  </si>
  <si>
    <t>Select individual users</t>
  </si>
  <si>
    <t>Contacts</t>
  </si>
  <si>
    <t>You need to email reports to a group of users. What is the best way to send in Cognos?</t>
  </si>
  <si>
    <t>All of the above</t>
  </si>
  <si>
    <t xml:space="preserve">Use the Select Distinct Option in the Source Qualifier Transformation.
</t>
  </si>
  <si>
    <t xml:space="preserve">Drag the Source Qualifier transformation to  a Rank Transformation. In the Rank Transformation, 
Check the rank (R) option for the salary port and Group By option for the Dept_Id port.
Drag the salary and Dept_ID to the Target table.
</t>
  </si>
  <si>
    <t xml:space="preserve">What are the main features of the Teradata database? </t>
  </si>
  <si>
    <t>It is portable to any platform</t>
  </si>
  <si>
    <t>Parallel aware optimizer</t>
  </si>
  <si>
    <t>Conditional processing</t>
  </si>
  <si>
    <t>John  submits a high volume of all-AMP requests. What strategy  can be used to  enhance parallelism in Teradata DB?</t>
  </si>
  <si>
    <t xml:space="preserve">Use NUSIs on the tables 
</t>
  </si>
  <si>
    <t xml:space="preserve">What is the consideration when creating a primary index in Teradata DB?
</t>
  </si>
  <si>
    <t xml:space="preserve">Duplicate values are not stored in the same database block. 
</t>
  </si>
  <si>
    <t xml:space="preserve">Primary index values should be subject to change.
</t>
  </si>
  <si>
    <t xml:space="preserve">Columns frequently used for row selection are good candidates for creating a primary index. 
</t>
  </si>
  <si>
    <t xml:space="preserve">Given the following snippet: 
CREATE TABLE tbl1_ppi ( 
col1 INTEGER NOT NULL,col2 INTEGER,col3 DATE FORMAT 'yyyy-mm-dd' ) 
PRIMARY INDEX (col1) 
PARTITION BY RANGE_N(col3 
BETWEEN DATE '2002-01-01' AND DATE '2012-12-31' EACH INTERVAL '1' YEAR,NO RANGE); 
What will be the effect of following Teradata Alter Query?
ALTER TABLE tbl1_ppi 
MODIFY PRIMARY INDEX 
DROP RANGE BETWEEN DATE '2002-01-01' AND DATE '2002-12-31' 
EACH INTERVAL '1' YEAR; </t>
  </si>
  <si>
    <t>Rows of the NO RANGE partition are deleted.</t>
  </si>
  <si>
    <t xml:space="preserve">Rows are moved from the Dropped partition to the save table. </t>
  </si>
  <si>
    <t>Rows of the Dropped partition are deleted.</t>
  </si>
  <si>
    <t xml:space="preserve">Rows are moved from the Dropped partition to the NO RANGE partition. </t>
  </si>
  <si>
    <t xml:space="preserve">Consider the scenario:A customer wants to continually load data and only establish row level locking. 
Which of the givne load utilities are available to perform his task in Teradata? </t>
  </si>
  <si>
    <t>We need to create a macro named 'deptdisplay' with separator.Write down Teradata SQL query.
Assume, there is department table exists in DB.</t>
  </si>
  <si>
    <t>Select the valid syntax for creating stored procedure in Teradata?</t>
  </si>
  <si>
    <t xml:space="preserve">Which Teradata function calculates the length of a string? 
</t>
  </si>
  <si>
    <t xml:space="preserve">Write a Teradata command which retrieves the name and department number for all employees in either department 501 or 503.
Assume there is employee table exists in DB.
</t>
  </si>
  <si>
    <t>Which of the Teradata join methods does require spool files?</t>
  </si>
  <si>
    <t xml:space="preserve">See the following Table definition in Teradata DB: 
CREATE TABLE Test2(d1 DATE, i1 INTEGER) PRIMARY INDEX (i1); 
How to Create an empty table with the same table(above) definition? 
</t>
  </si>
  <si>
    <t>In Query Studio, how can an author highlight revenue greater than five million on a list report without limiting the data displayed in the report?</t>
  </si>
  <si>
    <t>Create a value filter.</t>
  </si>
  <si>
    <t>Use conditional styles.</t>
  </si>
  <si>
    <t>Define a custom group.</t>
  </si>
  <si>
    <t>Apply a report template.</t>
  </si>
  <si>
    <t>A Query Studio list report shows revenue grouped by product line. What can an author do to eliminate product line groups from the report if the total revenue for the product line is less than one hundred thousand?</t>
  </si>
  <si>
    <t>Filter data based on report details.</t>
  </si>
  <si>
    <t>Filter data based on individual records.</t>
  </si>
  <si>
    <t>Filter data based on group summaries.</t>
  </si>
  <si>
    <t>Combine two or more filters to create a complex filter.</t>
  </si>
  <si>
    <t>Relational</t>
  </si>
  <si>
    <t>Dimensional</t>
  </si>
  <si>
    <t>Relational &amp; Dimensional</t>
  </si>
  <si>
    <t>Hierarchical</t>
  </si>
  <si>
    <t xml:space="preserve">In Cognos,Query Studio can be used to create reports on packages of type ______
</t>
  </si>
  <si>
    <t xml:space="preserve">The result of Query Subject A  "minus" (operator) Query Subject B in Cognos will give
</t>
  </si>
  <si>
    <t>All records of Query Subject A &amp; B</t>
  </si>
  <si>
    <t>Common records of Query Subject A &amp; B</t>
  </si>
  <si>
    <t>Records of Query Subject B not in A</t>
  </si>
  <si>
    <t xml:space="preserve">You are asked to prepare a report that compare the actual revenue values for all product 
lines in all regions. What is the most appropriate report type to use?
</t>
  </si>
  <si>
    <t>List</t>
  </si>
  <si>
    <t>Crosstab</t>
  </si>
  <si>
    <t>Blank</t>
  </si>
  <si>
    <t>Scatter</t>
  </si>
  <si>
    <t>Task Events</t>
  </si>
  <si>
    <t>Event Selection</t>
  </si>
  <si>
    <t>Event List</t>
  </si>
  <si>
    <t>Event Key</t>
  </si>
  <si>
    <t>In Cognos, Reports can be generated using multiple data providers. True or false?</t>
  </si>
  <si>
    <t>Export File</t>
  </si>
  <si>
    <t>Content Definition File</t>
  </si>
  <si>
    <t>Deployment Archive File</t>
  </si>
  <si>
    <t>Configuration export file</t>
  </si>
  <si>
    <t xml:space="preserve">What is the file that gets created in Cognos when the contents are exported? </t>
  </si>
  <si>
    <t>Yes</t>
  </si>
  <si>
    <t>No</t>
  </si>
  <si>
    <t>Yes, But only Dimensionally modeled</t>
  </si>
  <si>
    <t>Can we open Relational Package in 
Analysis Studio?</t>
  </si>
  <si>
    <t>It depends on the Cognos 
configuration set</t>
  </si>
  <si>
    <t>A Prompt page appears asking you to make a selection</t>
  </si>
  <si>
    <t>Hyperlinks appear in the report letting you drill to details in another report</t>
  </si>
  <si>
    <t xml:space="preserve">The report appears filtered on the predefined parameter value </t>
  </si>
  <si>
    <t>The report runs with a prompt at the end of the report data letting you change the selection for the next run.</t>
  </si>
  <si>
    <t xml:space="preserve">If a report contains a parameter, what happens when you run the report in Cognos? 
</t>
  </si>
  <si>
    <t>To provide prompt options that are not found in the data source.</t>
  </si>
  <si>
    <t>So that the prompt appears with an option selected by default.</t>
  </si>
  <si>
    <t>To provide default values to satisfy a parameter so a prompt page will not appear.</t>
  </si>
  <si>
    <t>So that the items that appear in the prompt depend on items selected in another prompt.</t>
  </si>
  <si>
    <t>In Cognos, why would an author create Static Choices for a prompt?</t>
  </si>
  <si>
    <t>In Report Studio, an author wants the report title to appear in the language in which the report is run. What property of the report header must the author define to create this variable?</t>
  </si>
  <si>
    <t>Style Variable</t>
  </si>
  <si>
    <t>String Variable</t>
  </si>
  <si>
    <t>Render Variable</t>
  </si>
  <si>
    <t>Text Source Variable</t>
  </si>
  <si>
    <t>In Report Studio, an author notices that the Revenue measure included in a list report has an Aggregate Function property of Total. What does this property mean?</t>
  </si>
  <si>
    <t>If the Auto Group &amp; Summarize property for the query is set to No, the list displays total revenue values for the lowest level of detail in the report.</t>
  </si>
  <si>
    <t>If the Auto Group &amp; Summarize property for the query is set to Yes, the list displays total revenue values for the lowest level of detail in the report.</t>
  </si>
  <si>
    <t>If the Auto Group &amp; Summarize property for the query is set to No, the list displays total revenue values for highest level of detail in the report.</t>
  </si>
  <si>
    <t>If the Auto Group &amp; Summarize property for the query is set to Yes, the list displays total revenue values for highest level of details in the report.</t>
  </si>
  <si>
    <t>Create a report view</t>
  </si>
  <si>
    <t>Create a shortcut</t>
  </si>
  <si>
    <t>Bursting</t>
  </si>
  <si>
    <t>Copy the report</t>
  </si>
  <si>
    <t>What should be done in order run the same report with different prompt values in Cognos?</t>
  </si>
  <si>
    <t>When the default active Content Manager fails, which of the following occurs.</t>
  </si>
  <si>
    <t>The system automatically switches to a standby Content Manager, and at some point
administrator must make it the default active Content Manager.</t>
  </si>
  <si>
    <t>The system automatically activates all standby content managers and spreads the load
of request across them all.</t>
  </si>
  <si>
    <t>The system automatically switches to a standby Content Manager, and requests are directed to
it.</t>
  </si>
  <si>
    <t>Users are prompted to rerun requests on the standby Content Manager of their choice.</t>
  </si>
  <si>
    <t>Governor</t>
  </si>
  <si>
    <t>Set Property</t>
  </si>
  <si>
    <t>Usage Property</t>
  </si>
  <si>
    <t>Link Property</t>
  </si>
  <si>
    <t>What is the property Name in Framework Manager to set Fact, Identifier and Measure?</t>
  </si>
  <si>
    <t>Fm uses Which of the Following SQL by Default</t>
  </si>
  <si>
    <t>Cognos SQL</t>
  </si>
  <si>
    <t>Oracle SQL</t>
  </si>
  <si>
    <t>Pass-through SQL</t>
  </si>
  <si>
    <t>NoSQL</t>
  </si>
  <si>
    <t>Create Shortcut Alias</t>
  </si>
  <si>
    <t>How is Looping Resolved in Framework Manager?</t>
  </si>
  <si>
    <t>Create Shortcut View.</t>
  </si>
  <si>
    <t>Define Relationship as one to many in conceptual model.</t>
  </si>
  <si>
    <t>Create New Query Subject.</t>
  </si>
  <si>
    <t xml:space="preserve">Use a filter transformation to eliminate duplicate records
</t>
  </si>
  <si>
    <t>Analysis Studio Event Studio Cognos Workspace</t>
  </si>
  <si>
    <t>Intro to Cognos Cognos Connection</t>
  </si>
  <si>
    <t>Security Cognos Administration</t>
  </si>
  <si>
    <t>Mapping Parameters and Variables</t>
  </si>
  <si>
    <t>Cognos Analytics</t>
  </si>
  <si>
    <t>No Daigram on iCompass</t>
  </si>
  <si>
    <t>What is used in Cognos Event Studio to Determine whether an 
event is has changed its state or not?</t>
  </si>
  <si>
    <t>Which of the following are the components of Cognos connection?</t>
  </si>
  <si>
    <t>Query studio</t>
  </si>
  <si>
    <t>Transformer</t>
  </si>
  <si>
    <t>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</si>
</sst>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_(&quot;$&quot;* \(#,##0.00\);_(&quot;$&quot;* &quot;-&quot;??_);_(@_)"/>
  </numFmts>
  <fonts count="44" x14ac:knownFonts="1">
    <font>
      <sz val="11"/>
      <color theme="1"/>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name val="Candara"/>
      <family val="2"/>
    </font>
    <font>
      <sz val="10"/>
      <name val="Candara"/>
      <family val="2"/>
    </font>
    <font>
      <b/>
      <sz val="11"/>
      <name val="Candara"/>
      <family val="2"/>
    </font>
    <font>
      <sz val="11"/>
      <name val="Calibri"/>
      <family val="2"/>
    </font>
    <font>
      <b/>
      <sz val="11"/>
      <name val="Calibri"/>
      <family val="2"/>
    </font>
    <font>
      <sz val="10"/>
      <name val="Trebuchet MS"/>
      <family val="2"/>
    </font>
    <font>
      <sz val="11"/>
      <name val="Candara"/>
      <family val="2"/>
    </font>
    <font>
      <b/>
      <sz val="10"/>
      <name val="Arial"/>
      <family val="2"/>
    </font>
    <font>
      <b/>
      <u/>
      <sz val="10"/>
      <color indexed="10"/>
      <name val="Trebuchet MS"/>
      <family val="2"/>
    </font>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color theme="1"/>
      <name val="Candara"/>
      <family val="2"/>
    </font>
    <font>
      <b/>
      <sz val="12"/>
      <color theme="0"/>
      <name val="Candara"/>
      <family val="2"/>
    </font>
    <font>
      <sz val="12"/>
      <color theme="1"/>
      <name val="Calibri"/>
      <family val="2"/>
      <scheme val="minor"/>
    </font>
    <font>
      <b/>
      <sz val="11"/>
      <color theme="1"/>
      <name val="Candara"/>
      <family val="2"/>
    </font>
    <font>
      <b/>
      <sz val="10"/>
      <color theme="1"/>
      <name val="Candara"/>
      <family val="2"/>
    </font>
    <font>
      <sz val="8"/>
      <color theme="1"/>
      <name val="Verdana"/>
      <family val="2"/>
    </font>
    <font>
      <sz val="10"/>
      <color theme="1"/>
      <name val="Trebuchet MS"/>
      <family val="2"/>
    </font>
    <font>
      <sz val="11"/>
      <name val="Calibri"/>
      <family val="2"/>
      <scheme val="minor"/>
    </font>
    <font>
      <b/>
      <sz val="14"/>
      <color theme="1"/>
      <name val="Candara"/>
      <family val="2"/>
    </font>
    <font>
      <b/>
      <sz val="12"/>
      <color theme="1"/>
      <name val="Candara"/>
      <family val="2"/>
    </font>
    <font>
      <strike/>
      <sz val="10"/>
      <color rgb="FFFF0000"/>
      <name val="Trebuchet MS"/>
      <family val="2"/>
    </font>
    <font>
      <sz val="11"/>
      <color rgb="FFFF0000"/>
      <name val="Calibri"/>
      <family val="2"/>
      <scheme val="minor"/>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E6E8F2"/>
        <bgColor indexed="64"/>
      </patternFill>
    </fill>
    <fill>
      <patternFill patternType="solid">
        <fgColor rgb="FFD0D4E8"/>
        <bgColor indexed="64"/>
      </patternFill>
    </fill>
    <fill>
      <patternFill patternType="solid">
        <fgColor theme="0"/>
        <bgColor indexed="64"/>
      </patternFill>
    </fill>
    <fill>
      <patternFill patternType="solid">
        <fgColor theme="3" tint="0.59999389629810485"/>
        <bgColor indexed="64"/>
      </patternFill>
    </fill>
    <fill>
      <patternFill patternType="solid">
        <fgColor rgb="FFFFFF00"/>
        <bgColor indexed="64"/>
      </patternFill>
    </fill>
  </fills>
  <borders count="4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s>
  <cellStyleXfs count="46">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44" fontId="1" fillId="0" borderId="0" applyFont="0" applyFill="0" applyBorder="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 fillId="0" borderId="0"/>
    <xf numFmtId="0" fontId="28" fillId="0" borderId="0"/>
    <xf numFmtId="0" fontId="1" fillId="23" borderId="7" applyNumberFormat="0" applyFont="0" applyAlignment="0" applyProtection="0"/>
    <xf numFmtId="0" fontId="15" fillId="20"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cellStyleXfs>
  <cellXfs count="88">
    <xf numFmtId="0" fontId="0" fillId="0" borderId="0" xfId="0"/>
    <xf numFmtId="0" fontId="30" fillId="0" borderId="10" xfId="0" applyFont="1" applyBorder="1" applyAlignment="1">
      <alignment horizontal="center" vertical="center"/>
    </xf>
    <xf numFmtId="0" fontId="31" fillId="0" borderId="10" xfId="0" applyFont="1" applyBorder="1" applyAlignment="1">
      <alignment horizontal="center" vertical="center"/>
    </xf>
    <xf numFmtId="0" fontId="30" fillId="0" borderId="10" xfId="0" applyFont="1" applyFill="1" applyBorder="1" applyAlignment="1">
      <alignment horizontal="center"/>
    </xf>
    <xf numFmtId="0" fontId="22" fillId="0" borderId="10" xfId="38" applyFont="1" applyFill="1" applyBorder="1" applyAlignment="1">
      <alignment horizontal="center"/>
    </xf>
    <xf numFmtId="0" fontId="22" fillId="0" borderId="10" xfId="38" applyFont="1" applyBorder="1" applyAlignment="1">
      <alignment horizontal="center"/>
    </xf>
    <xf numFmtId="0" fontId="19" fillId="24" borderId="10" xfId="0" applyFont="1" applyFill="1" applyBorder="1" applyAlignment="1">
      <alignment horizontal="left"/>
    </xf>
    <xf numFmtId="0" fontId="19" fillId="24" borderId="10" xfId="0" applyFont="1" applyFill="1" applyBorder="1" applyAlignment="1">
      <alignment horizontal="center"/>
    </xf>
    <xf numFmtId="0" fontId="32" fillId="0" borderId="11" xfId="0" applyFont="1" applyBorder="1" applyAlignment="1">
      <alignment horizontal="left" vertical="center"/>
    </xf>
    <xf numFmtId="0" fontId="31" fillId="0" borderId="12" xfId="0" applyFont="1" applyBorder="1" applyAlignment="1">
      <alignment horizontal="center" vertical="center"/>
    </xf>
    <xf numFmtId="0" fontId="19" fillId="24" borderId="12" xfId="0" applyFont="1" applyFill="1" applyBorder="1" applyAlignment="1">
      <alignment horizontal="left"/>
    </xf>
    <xf numFmtId="0" fontId="21" fillId="25" borderId="11" xfId="0" applyFont="1" applyFill="1" applyBorder="1" applyAlignment="1">
      <alignment horizontal="center" vertical="center" wrapText="1"/>
    </xf>
    <xf numFmtId="0" fontId="19" fillId="24" borderId="11" xfId="0" applyFont="1" applyFill="1" applyBorder="1" applyAlignment="1">
      <alignment horizontal="center"/>
    </xf>
    <xf numFmtId="0" fontId="20" fillId="0" borderId="11" xfId="38" applyFont="1" applyBorder="1" applyAlignment="1"/>
    <xf numFmtId="0" fontId="30" fillId="0" borderId="12" xfId="0" applyFont="1" applyBorder="1" applyAlignment="1">
      <alignment horizontal="center"/>
    </xf>
    <xf numFmtId="0" fontId="19" fillId="24" borderId="12" xfId="0" applyFont="1" applyFill="1" applyBorder="1" applyAlignment="1">
      <alignment horizontal="center"/>
    </xf>
    <xf numFmtId="0" fontId="0" fillId="0" borderId="0" xfId="0" applyBorder="1"/>
    <xf numFmtId="0" fontId="0" fillId="0" borderId="0" xfId="0" applyBorder="1" applyAlignment="1">
      <alignment wrapText="1"/>
    </xf>
    <xf numFmtId="0" fontId="23" fillId="25" borderId="10" xfId="0" applyFont="1" applyFill="1" applyBorder="1" applyAlignment="1">
      <alignment horizontal="center" vertical="top" wrapText="1"/>
    </xf>
    <xf numFmtId="0" fontId="0" fillId="0" borderId="0" xfId="0" applyFill="1" applyBorder="1"/>
    <xf numFmtId="0" fontId="33" fillId="0" borderId="0" xfId="0" applyFont="1" applyFill="1" applyBorder="1" applyAlignment="1">
      <alignment horizontal="center" vertical="center" wrapText="1"/>
    </xf>
    <xf numFmtId="0" fontId="21" fillId="26" borderId="10" xfId="0" applyFont="1" applyFill="1" applyBorder="1" applyAlignment="1">
      <alignment horizontal="center" vertical="center" wrapText="1"/>
    </xf>
    <xf numFmtId="0" fontId="23" fillId="26" borderId="10" xfId="0" applyFont="1" applyFill="1" applyBorder="1" applyAlignment="1">
      <alignment horizontal="center" vertical="top" wrapText="1"/>
    </xf>
    <xf numFmtId="0" fontId="24" fillId="26" borderId="10" xfId="0" applyFont="1" applyFill="1" applyBorder="1" applyAlignment="1"/>
    <xf numFmtId="0" fontId="29" fillId="0" borderId="10" xfId="0" applyFont="1" applyBorder="1" applyAlignment="1">
      <alignment horizontal="center"/>
    </xf>
    <xf numFmtId="0" fontId="21" fillId="25" borderId="10" xfId="0" applyFont="1" applyFill="1" applyBorder="1" applyAlignment="1">
      <alignment horizontal="center" vertical="center" wrapText="1"/>
    </xf>
    <xf numFmtId="0" fontId="34" fillId="0" borderId="0" xfId="0" applyFont="1" applyBorder="1"/>
    <xf numFmtId="0" fontId="32" fillId="0" borderId="11" xfId="0" applyFont="1" applyFill="1" applyBorder="1" applyAlignment="1">
      <alignment horizontal="left" vertical="center"/>
    </xf>
    <xf numFmtId="0" fontId="31" fillId="0" borderId="10" xfId="0" applyFont="1" applyFill="1" applyBorder="1" applyAlignment="1">
      <alignment horizontal="center" vertical="center"/>
    </xf>
    <xf numFmtId="0" fontId="31" fillId="0" borderId="12" xfId="0" applyFont="1" applyFill="1" applyBorder="1" applyAlignment="1">
      <alignment horizontal="center" vertical="center"/>
    </xf>
    <xf numFmtId="0" fontId="31" fillId="0" borderId="13" xfId="0" applyFont="1" applyBorder="1" applyAlignment="1">
      <alignment horizontal="center" vertical="center"/>
    </xf>
    <xf numFmtId="0" fontId="35" fillId="27" borderId="14" xfId="0" applyFont="1" applyFill="1" applyBorder="1" applyAlignment="1">
      <alignment horizontal="center" vertical="center" wrapText="1"/>
    </xf>
    <xf numFmtId="0" fontId="35" fillId="27" borderId="15" xfId="0" applyFont="1" applyFill="1" applyBorder="1" applyAlignment="1">
      <alignment horizontal="center" vertical="center" wrapText="1"/>
    </xf>
    <xf numFmtId="0" fontId="35" fillId="27" borderId="16" xfId="0" applyFont="1" applyFill="1" applyBorder="1" applyAlignment="1">
      <alignment horizontal="center" vertical="center" wrapText="1"/>
    </xf>
    <xf numFmtId="0" fontId="36" fillId="0" borderId="17" xfId="0" applyFont="1" applyBorder="1" applyAlignment="1">
      <alignment horizontal="left" vertical="center"/>
    </xf>
    <xf numFmtId="0" fontId="36" fillId="0" borderId="18" xfId="0" applyFont="1" applyBorder="1" applyAlignment="1">
      <alignment horizontal="left" vertical="center"/>
    </xf>
    <xf numFmtId="0" fontId="36" fillId="0" borderId="19" xfId="0" applyFont="1" applyBorder="1" applyAlignment="1">
      <alignment horizontal="left" vertical="center"/>
    </xf>
    <xf numFmtId="0" fontId="21" fillId="25" borderId="20" xfId="0" applyFont="1" applyFill="1" applyBorder="1" applyAlignment="1">
      <alignment horizontal="center" vertical="center" wrapText="1"/>
    </xf>
    <xf numFmtId="0" fontId="23" fillId="25" borderId="21" xfId="0" applyFont="1" applyFill="1" applyBorder="1" applyAlignment="1">
      <alignment horizontal="center" vertical="center" wrapText="1"/>
    </xf>
    <xf numFmtId="0" fontId="23" fillId="25" borderId="22" xfId="0" applyFont="1" applyFill="1" applyBorder="1" applyAlignment="1">
      <alignment horizontal="center" vertical="center" wrapText="1"/>
    </xf>
    <xf numFmtId="0" fontId="30" fillId="0" borderId="23" xfId="0" applyFont="1" applyBorder="1" applyAlignment="1">
      <alignment horizontal="center" vertical="center"/>
    </xf>
    <xf numFmtId="0" fontId="31" fillId="0" borderId="23" xfId="0" applyFont="1" applyBorder="1" applyAlignment="1">
      <alignment horizontal="center" vertical="center"/>
    </xf>
    <xf numFmtId="0" fontId="31" fillId="0" borderId="24" xfId="0" applyFont="1" applyBorder="1" applyAlignment="1">
      <alignment horizontal="center" vertical="center"/>
    </xf>
    <xf numFmtId="0" fontId="30" fillId="0" borderId="25" xfId="0" applyFont="1" applyBorder="1" applyAlignment="1">
      <alignment horizontal="center" vertical="center"/>
    </xf>
    <xf numFmtId="0" fontId="31" fillId="0" borderId="25" xfId="0" applyFont="1" applyBorder="1" applyAlignment="1">
      <alignment horizontal="center" vertical="center"/>
    </xf>
    <xf numFmtId="0" fontId="31" fillId="0" borderId="26" xfId="0" applyFont="1" applyBorder="1" applyAlignment="1">
      <alignment horizontal="center" vertical="center"/>
    </xf>
    <xf numFmtId="0" fontId="32" fillId="0" borderId="27" xfId="0" applyFont="1" applyBorder="1" applyAlignment="1">
      <alignment horizontal="left" vertical="center"/>
    </xf>
    <xf numFmtId="0" fontId="32" fillId="0" borderId="28" xfId="0" applyFont="1" applyBorder="1" applyAlignment="1">
      <alignment horizontal="left" vertical="center"/>
    </xf>
    <xf numFmtId="0" fontId="0" fillId="0" borderId="10" xfId="0" applyBorder="1"/>
    <xf numFmtId="0" fontId="37" fillId="26" borderId="11" xfId="0" applyFont="1" applyFill="1" applyBorder="1"/>
    <xf numFmtId="0" fontId="37" fillId="26" borderId="10" xfId="0" applyFont="1" applyFill="1" applyBorder="1" applyAlignment="1">
      <alignment horizontal="center" vertical="center"/>
    </xf>
    <xf numFmtId="0" fontId="37" fillId="26" borderId="23" xfId="0" applyFont="1" applyFill="1" applyBorder="1" applyAlignment="1">
      <alignment horizontal="center"/>
    </xf>
    <xf numFmtId="0" fontId="26" fillId="27" borderId="10" xfId="38" applyFont="1" applyFill="1" applyBorder="1" applyAlignment="1">
      <alignment horizontal="center" vertical="center" wrapText="1"/>
    </xf>
    <xf numFmtId="0" fontId="39" fillId="0" borderId="10" xfId="0" applyFont="1" applyFill="1" applyBorder="1" applyAlignment="1">
      <alignment horizontal="center" vertical="center"/>
    </xf>
    <xf numFmtId="0" fontId="39" fillId="0" borderId="10" xfId="0" applyFont="1" applyFill="1" applyBorder="1" applyAlignment="1">
      <alignment horizontal="center" vertical="center" wrapText="1"/>
    </xf>
    <xf numFmtId="0" fontId="26" fillId="27" borderId="10" xfId="38" applyFont="1" applyFill="1" applyBorder="1" applyAlignment="1">
      <alignment horizontal="left" vertical="center" wrapText="1"/>
    </xf>
    <xf numFmtId="0" fontId="38" fillId="0" borderId="10" xfId="0" applyFont="1" applyFill="1"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wrapText="1"/>
    </xf>
    <xf numFmtId="0" fontId="38" fillId="0" borderId="10" xfId="0" applyFont="1" applyFill="1" applyBorder="1" applyAlignment="1">
      <alignment horizontal="center" vertical="center" wrapText="1"/>
    </xf>
    <xf numFmtId="0" fontId="26" fillId="0" borderId="10" xfId="38" applyFont="1" applyFill="1" applyBorder="1" applyAlignment="1">
      <alignment horizontal="center" vertical="center" wrapText="1"/>
    </xf>
    <xf numFmtId="0" fontId="0" fillId="0" borderId="0" xfId="0" applyFill="1" applyAlignment="1">
      <alignment horizontal="center" vertical="center" wrapText="1"/>
    </xf>
    <xf numFmtId="0" fontId="24" fillId="0" borderId="10" xfId="0" applyFont="1" applyFill="1" applyBorder="1" applyAlignment="1">
      <alignment horizontal="left" vertical="center" wrapText="1"/>
    </xf>
    <xf numFmtId="2" fontId="42" fillId="0" borderId="10" xfId="0" applyNumberFormat="1" applyFont="1" applyFill="1" applyBorder="1" applyAlignment="1">
      <alignment horizontal="center" vertical="center" wrapText="1"/>
    </xf>
    <xf numFmtId="0" fontId="35" fillId="25" borderId="39" xfId="0" applyFont="1" applyFill="1" applyBorder="1" applyAlignment="1">
      <alignment horizontal="center"/>
    </xf>
    <xf numFmtId="0" fontId="35" fillId="25" borderId="40" xfId="0" applyFont="1" applyFill="1" applyBorder="1" applyAlignment="1">
      <alignment horizontal="center"/>
    </xf>
    <xf numFmtId="0" fontId="35" fillId="25" borderId="41" xfId="0" applyFont="1" applyFill="1" applyBorder="1" applyAlignment="1">
      <alignment horizontal="center"/>
    </xf>
    <xf numFmtId="0" fontId="35" fillId="27" borderId="42" xfId="0" applyFont="1" applyFill="1" applyBorder="1" applyAlignment="1">
      <alignment horizontal="center" vertical="center" wrapText="1"/>
    </xf>
    <xf numFmtId="0" fontId="35" fillId="27" borderId="43" xfId="0" applyFont="1" applyFill="1" applyBorder="1" applyAlignment="1">
      <alignment horizontal="center" vertical="center" wrapText="1"/>
    </xf>
    <xf numFmtId="0" fontId="35" fillId="27" borderId="44" xfId="0" applyFont="1" applyFill="1" applyBorder="1" applyAlignment="1">
      <alignment horizontal="center" vertical="center" wrapText="1"/>
    </xf>
    <xf numFmtId="0" fontId="35" fillId="25" borderId="11" xfId="0" applyFont="1" applyFill="1" applyBorder="1" applyAlignment="1">
      <alignment horizontal="center"/>
    </xf>
    <xf numFmtId="0" fontId="35" fillId="25" borderId="10" xfId="0" applyFont="1" applyFill="1" applyBorder="1" applyAlignment="1">
      <alignment horizontal="center"/>
    </xf>
    <xf numFmtId="0" fontId="35" fillId="25" borderId="12" xfId="0" applyFont="1" applyFill="1" applyBorder="1" applyAlignment="1">
      <alignment horizontal="center"/>
    </xf>
    <xf numFmtId="0" fontId="25" fillId="27" borderId="37" xfId="0" applyFont="1" applyFill="1" applyBorder="1" applyAlignment="1">
      <alignment horizontal="center" vertical="center" wrapText="1"/>
    </xf>
    <xf numFmtId="0" fontId="25" fillId="27" borderId="38" xfId="0" applyFont="1" applyFill="1" applyBorder="1" applyAlignment="1">
      <alignment horizontal="center" vertical="center" wrapText="1"/>
    </xf>
    <xf numFmtId="0" fontId="40" fillId="0" borderId="29" xfId="0" applyFont="1" applyFill="1" applyBorder="1" applyAlignment="1">
      <alignment horizontal="center" vertical="center" wrapText="1"/>
    </xf>
    <xf numFmtId="0" fontId="40" fillId="0" borderId="30" xfId="0" applyFont="1" applyFill="1" applyBorder="1" applyAlignment="1">
      <alignment horizontal="center" vertical="center" wrapText="1"/>
    </xf>
    <xf numFmtId="0" fontId="40" fillId="0" borderId="31" xfId="0" applyFont="1" applyFill="1" applyBorder="1" applyAlignment="1">
      <alignment horizontal="center" vertical="center" wrapText="1"/>
    </xf>
    <xf numFmtId="0" fontId="41" fillId="27" borderId="32" xfId="0" applyFont="1" applyFill="1" applyBorder="1" applyAlignment="1">
      <alignment horizontal="center" vertical="center"/>
    </xf>
    <xf numFmtId="0" fontId="41" fillId="27" borderId="28" xfId="0" applyFont="1" applyFill="1" applyBorder="1" applyAlignment="1">
      <alignment horizontal="center" vertical="center"/>
    </xf>
    <xf numFmtId="0" fontId="41" fillId="27" borderId="33" xfId="0" applyFont="1" applyFill="1" applyBorder="1" applyAlignment="1">
      <alignment horizontal="center" vertical="center" wrapText="1"/>
    </xf>
    <xf numFmtId="0" fontId="41" fillId="27" borderId="25" xfId="0" applyFont="1" applyFill="1" applyBorder="1" applyAlignment="1">
      <alignment horizontal="center" vertical="center" wrapText="1"/>
    </xf>
    <xf numFmtId="0" fontId="35" fillId="27" borderId="33" xfId="0" applyFont="1" applyFill="1" applyBorder="1" applyAlignment="1">
      <alignment horizontal="center" vertical="center" wrapText="1"/>
    </xf>
    <xf numFmtId="0" fontId="35" fillId="27" borderId="34" xfId="0" applyFont="1" applyFill="1" applyBorder="1" applyAlignment="1">
      <alignment horizontal="center" vertical="center" wrapText="1"/>
    </xf>
    <xf numFmtId="0" fontId="35" fillId="27" borderId="35" xfId="0" applyFont="1" applyFill="1" applyBorder="1" applyAlignment="1">
      <alignment horizontal="center" vertical="center" wrapText="1"/>
    </xf>
    <xf numFmtId="0" fontId="35" fillId="27" borderId="36" xfId="0" applyFont="1" applyFill="1" applyBorder="1" applyAlignment="1">
      <alignment horizontal="center" vertical="center" wrapText="1"/>
    </xf>
    <xf numFmtId="0" fontId="43" fillId="28" borderId="0" xfId="0" applyFont="1" applyFill="1" applyAlignment="1">
      <alignment horizontal="center" vertical="center" wrapText="1"/>
    </xf>
    <xf numFmtId="0" fontId="0" fillId="28" borderId="0" xfId="0" applyFill="1" applyAlignment="1">
      <alignment horizontal="center" vertical="center" wrapText="1"/>
    </xf>
  </cellXfs>
  <cellStyles count="46">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Calculation 2" xfId="26"/>
    <cellStyle name="Check Cell 2" xfId="27"/>
    <cellStyle name="Currency 2" xfId="28"/>
    <cellStyle name="Explanatory Text 2" xfId="29"/>
    <cellStyle name="Good 2" xfId="30"/>
    <cellStyle name="Heading 1 2" xfId="31"/>
    <cellStyle name="Heading 2 2" xfId="32"/>
    <cellStyle name="Heading 3 2" xfId="33"/>
    <cellStyle name="Heading 4 2" xfId="34"/>
    <cellStyle name="Input 2" xfId="35"/>
    <cellStyle name="Linked Cell 2" xfId="36"/>
    <cellStyle name="Neutral 2" xfId="37"/>
    <cellStyle name="Normal" xfId="0" builtinId="0"/>
    <cellStyle name="Normal 2" xfId="38"/>
    <cellStyle name="Normal 3" xfId="39"/>
    <cellStyle name="Normal 5" xfId="40"/>
    <cellStyle name="Note 2" xfId="41"/>
    <cellStyle name="Output 2" xfId="42"/>
    <cellStyle name="Title 2" xfId="43"/>
    <cellStyle name="Total 2" xfId="44"/>
    <cellStyle name="Warning Text 2" xfId="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1200150</xdr:colOff>
      <xdr:row>1</xdr:row>
      <xdr:rowOff>0</xdr:rowOff>
    </xdr:from>
    <xdr:to>
      <xdr:col>6</xdr:col>
      <xdr:colOff>1200150</xdr:colOff>
      <xdr:row>1</xdr:row>
      <xdr:rowOff>323850</xdr:rowOff>
    </xdr:to>
    <xdr:pic>
      <xdr:nvPicPr>
        <xdr:cNvPr id="3905"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72075" y="17021175"/>
          <a:ext cx="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180975</xdr:rowOff>
    </xdr:to>
    <xdr:pic>
      <xdr:nvPicPr>
        <xdr:cNvPr id="3906"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72075" y="22517100"/>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142875</xdr:rowOff>
    </xdr:to>
    <xdr:pic>
      <xdr:nvPicPr>
        <xdr:cNvPr id="3907"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72075" y="22517100"/>
          <a:ext cx="0" cy="142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180975</xdr:rowOff>
    </xdr:to>
    <xdr:pic>
      <xdr:nvPicPr>
        <xdr:cNvPr id="3908"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72075" y="22517100"/>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xdr:row>
      <xdr:rowOff>180975</xdr:rowOff>
    </xdr:to>
    <xdr:pic>
      <xdr:nvPicPr>
        <xdr:cNvPr id="3909"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72075" y="22517100"/>
          <a:ext cx="0" cy="180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1200150</xdr:colOff>
      <xdr:row>1</xdr:row>
      <xdr:rowOff>0</xdr:rowOff>
    </xdr:from>
    <xdr:to>
      <xdr:col>6</xdr:col>
      <xdr:colOff>1200150</xdr:colOff>
      <xdr:row>12</xdr:row>
      <xdr:rowOff>1429871</xdr:rowOff>
    </xdr:to>
    <xdr:pic>
      <xdr:nvPicPr>
        <xdr:cNvPr id="3910" name="Picture 17"/>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72075" y="485775"/>
          <a:ext cx="0" cy="2406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5</xdr:col>
      <xdr:colOff>571265</xdr:colOff>
      <xdr:row>8</xdr:row>
      <xdr:rowOff>95250</xdr:rowOff>
    </xdr:to>
    <xdr:pic>
      <xdr:nvPicPr>
        <xdr:cNvPr id="4269"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81000"/>
          <a:ext cx="2400065" cy="123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95250</xdr:colOff>
      <xdr:row>2</xdr:row>
      <xdr:rowOff>19050</xdr:rowOff>
    </xdr:from>
    <xdr:to>
      <xdr:col>10</xdr:col>
      <xdr:colOff>258479</xdr:colOff>
      <xdr:row>8</xdr:row>
      <xdr:rowOff>85725</xdr:rowOff>
    </xdr:to>
    <xdr:pic>
      <xdr:nvPicPr>
        <xdr:cNvPr id="4270" name="Picture 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52850" y="400050"/>
          <a:ext cx="2601629"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4481</xdr:colOff>
      <xdr:row>3</xdr:row>
      <xdr:rowOff>0</xdr:rowOff>
    </xdr:from>
    <xdr:to>
      <xdr:col>19</xdr:col>
      <xdr:colOff>15846</xdr:colOff>
      <xdr:row>19</xdr:row>
      <xdr:rowOff>78441</xdr:rowOff>
    </xdr:to>
    <xdr:pic>
      <xdr:nvPicPr>
        <xdr:cNvPr id="5203" name="Picture 1" descr="http://4.bp.blogspot.com/-337QjqzbakA/UW_tl4EYVeI/AAAAAAAAAsM/eVA9yGJXXjU/s1600/jnr10.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834" y="571500"/>
          <a:ext cx="9693247" cy="31264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6</xdr:row>
      <xdr:rowOff>0</xdr:rowOff>
    </xdr:from>
    <xdr:to>
      <xdr:col>10</xdr:col>
      <xdr:colOff>171450</xdr:colOff>
      <xdr:row>6</xdr:row>
      <xdr:rowOff>180975</xdr:rowOff>
    </xdr:to>
    <xdr:pic>
      <xdr:nvPicPr>
        <xdr:cNvPr id="6223" name="Picture 2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400" y="1143000"/>
          <a:ext cx="3829050" cy="1809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0"/>
  <sheetViews>
    <sheetView tabSelected="1" topLeftCell="B26" zoomScale="85" zoomScaleNormal="85" workbookViewId="0">
      <selection activeCell="K30" sqref="K30"/>
    </sheetView>
  </sheetViews>
  <sheetFormatPr defaultRowHeight="15" x14ac:dyDescent="0.25"/>
  <cols>
    <col min="1" max="1" width="9.140625" style="61"/>
    <col min="2" max="4" width="9.140625" style="58" customWidth="1"/>
    <col min="5" max="5" width="14.85546875" style="58" customWidth="1"/>
    <col min="6" max="6" width="25.42578125" style="58" customWidth="1"/>
    <col min="7" max="7" width="43" style="57" customWidth="1"/>
    <col min="8" max="8" width="26.5703125" style="57" customWidth="1"/>
    <col min="9" max="9" width="15.85546875" style="57" customWidth="1"/>
    <col min="10" max="10" width="23.5703125" style="57" customWidth="1"/>
    <col min="11" max="11" width="24" style="57" customWidth="1"/>
    <col min="12" max="12" width="14.140625" style="58" customWidth="1"/>
    <col min="13" max="16384" width="9.140625" style="58"/>
  </cols>
  <sheetData>
    <row r="1" spans="1:16" ht="75.75" customHeight="1" x14ac:dyDescent="0.25">
      <c r="A1" s="60" t="s">
        <v>67</v>
      </c>
      <c r="B1" s="52" t="s">
        <v>68</v>
      </c>
      <c r="C1" s="52" t="s">
        <v>69</v>
      </c>
      <c r="D1" s="52" t="s">
        <v>70</v>
      </c>
      <c r="E1" s="52" t="s">
        <v>71</v>
      </c>
      <c r="F1" s="52" t="s">
        <v>72</v>
      </c>
      <c r="G1" s="55" t="s">
        <v>73</v>
      </c>
      <c r="H1" s="55" t="s">
        <v>74</v>
      </c>
      <c r="I1" s="55" t="s">
        <v>75</v>
      </c>
      <c r="J1" s="55" t="s">
        <v>76</v>
      </c>
      <c r="K1" s="55" t="s">
        <v>77</v>
      </c>
      <c r="L1" s="52" t="s">
        <v>78</v>
      </c>
      <c r="M1" s="52" t="s">
        <v>79</v>
      </c>
      <c r="N1" s="52" t="s">
        <v>80</v>
      </c>
      <c r="O1" s="52" t="s">
        <v>81</v>
      </c>
      <c r="P1" s="61"/>
    </row>
    <row r="2" spans="1:16" ht="75.75" customHeight="1" x14ac:dyDescent="0.25">
      <c r="A2" s="59" t="s">
        <v>82</v>
      </c>
      <c r="B2" s="59" t="s">
        <v>30</v>
      </c>
      <c r="C2" s="59" t="s">
        <v>33</v>
      </c>
      <c r="D2" s="59" t="s">
        <v>83</v>
      </c>
      <c r="E2" s="59" t="s">
        <v>15</v>
      </c>
      <c r="F2" s="59" t="s">
        <v>91</v>
      </c>
      <c r="G2" s="56" t="s">
        <v>94</v>
      </c>
      <c r="H2" s="56" t="s">
        <v>95</v>
      </c>
      <c r="I2" s="56" t="s">
        <v>96</v>
      </c>
      <c r="J2" s="56" t="s">
        <v>97</v>
      </c>
      <c r="K2" s="56" t="s">
        <v>98</v>
      </c>
      <c r="L2" s="59"/>
      <c r="M2" s="59"/>
      <c r="N2" s="59">
        <v>3</v>
      </c>
      <c r="O2" s="53" t="s">
        <v>84</v>
      </c>
      <c r="P2" s="61"/>
    </row>
    <row r="3" spans="1:16" ht="195" x14ac:dyDescent="0.25">
      <c r="A3" s="59" t="s">
        <v>82</v>
      </c>
      <c r="B3" s="59" t="s">
        <v>30</v>
      </c>
      <c r="C3" s="59" t="s">
        <v>85</v>
      </c>
      <c r="D3" s="59" t="s">
        <v>83</v>
      </c>
      <c r="E3" s="59" t="s">
        <v>15</v>
      </c>
      <c r="F3" s="59" t="s">
        <v>17</v>
      </c>
      <c r="G3" s="56" t="s">
        <v>99</v>
      </c>
      <c r="H3" s="56" t="s">
        <v>325</v>
      </c>
      <c r="I3" s="56" t="s">
        <v>217</v>
      </c>
      <c r="J3" s="56" t="s">
        <v>100</v>
      </c>
      <c r="K3" s="56" t="s">
        <v>101</v>
      </c>
      <c r="L3" s="59"/>
      <c r="M3" s="59"/>
      <c r="N3" s="59">
        <v>2</v>
      </c>
      <c r="O3" s="53" t="s">
        <v>84</v>
      </c>
    </row>
    <row r="4" spans="1:16" ht="51" customHeight="1" x14ac:dyDescent="0.25">
      <c r="A4" s="59" t="s">
        <v>82</v>
      </c>
      <c r="B4" s="59" t="s">
        <v>30</v>
      </c>
      <c r="C4" s="59" t="s">
        <v>85</v>
      </c>
      <c r="D4" s="59" t="s">
        <v>83</v>
      </c>
      <c r="E4" s="59" t="s">
        <v>15</v>
      </c>
      <c r="F4" s="59" t="s">
        <v>17</v>
      </c>
      <c r="G4" s="56" t="s">
        <v>102</v>
      </c>
      <c r="H4" s="56" t="s">
        <v>103</v>
      </c>
      <c r="I4" s="56" t="s">
        <v>104</v>
      </c>
      <c r="J4" s="56" t="s">
        <v>105</v>
      </c>
      <c r="K4" s="56" t="s">
        <v>106</v>
      </c>
      <c r="L4" s="59"/>
      <c r="M4" s="59"/>
      <c r="N4" s="59">
        <v>3</v>
      </c>
      <c r="O4" s="53" t="s">
        <v>84</v>
      </c>
    </row>
    <row r="5" spans="1:16" ht="195" x14ac:dyDescent="0.25">
      <c r="A5" s="59" t="s">
        <v>82</v>
      </c>
      <c r="B5" s="59" t="s">
        <v>31</v>
      </c>
      <c r="C5" s="59" t="s">
        <v>85</v>
      </c>
      <c r="D5" s="59" t="s">
        <v>83</v>
      </c>
      <c r="E5" s="59" t="s">
        <v>15</v>
      </c>
      <c r="F5" s="59" t="s">
        <v>17</v>
      </c>
      <c r="G5" s="56" t="s">
        <v>111</v>
      </c>
      <c r="H5" s="56" t="s">
        <v>107</v>
      </c>
      <c r="I5" s="56" t="s">
        <v>108</v>
      </c>
      <c r="J5" s="56" t="s">
        <v>109</v>
      </c>
      <c r="K5" s="56" t="s">
        <v>110</v>
      </c>
      <c r="L5" s="59"/>
      <c r="M5" s="59"/>
      <c r="N5" s="59">
        <v>3</v>
      </c>
      <c r="O5" s="53" t="s">
        <v>84</v>
      </c>
      <c r="P5" s="61"/>
    </row>
    <row r="6" spans="1:16" ht="354" customHeight="1" x14ac:dyDescent="0.25">
      <c r="A6" s="59" t="s">
        <v>82</v>
      </c>
      <c r="B6" s="59" t="s">
        <v>31</v>
      </c>
      <c r="C6" s="59" t="s">
        <v>85</v>
      </c>
      <c r="D6" s="59" t="s">
        <v>83</v>
      </c>
      <c r="E6" s="59" t="s">
        <v>15</v>
      </c>
      <c r="F6" s="59" t="s">
        <v>17</v>
      </c>
      <c r="G6" s="56" t="s">
        <v>115</v>
      </c>
      <c r="H6" s="56" t="s">
        <v>112</v>
      </c>
      <c r="I6" s="56" t="s">
        <v>116</v>
      </c>
      <c r="J6" s="56" t="s">
        <v>113</v>
      </c>
      <c r="K6" s="56" t="s">
        <v>114</v>
      </c>
      <c r="L6" s="59"/>
      <c r="M6" s="59"/>
      <c r="N6" s="59">
        <v>2</v>
      </c>
      <c r="O6" s="53" t="s">
        <v>84</v>
      </c>
    </row>
    <row r="7" spans="1:16" ht="180" x14ac:dyDescent="0.25">
      <c r="A7" s="59" t="s">
        <v>88</v>
      </c>
      <c r="B7" s="59" t="s">
        <v>31</v>
      </c>
      <c r="C7" s="59" t="s">
        <v>85</v>
      </c>
      <c r="D7" s="59" t="s">
        <v>83</v>
      </c>
      <c r="E7" s="59" t="s">
        <v>15</v>
      </c>
      <c r="F7" s="59" t="s">
        <v>17</v>
      </c>
      <c r="G7" s="56" t="s">
        <v>122</v>
      </c>
      <c r="H7" s="56" t="s">
        <v>117</v>
      </c>
      <c r="I7" s="56" t="s">
        <v>118</v>
      </c>
      <c r="J7" s="56" t="s">
        <v>119</v>
      </c>
      <c r="K7" s="56" t="s">
        <v>120</v>
      </c>
      <c r="L7" s="59"/>
      <c r="M7" s="59"/>
      <c r="N7" s="59" t="s">
        <v>121</v>
      </c>
      <c r="O7" s="53" t="s">
        <v>84</v>
      </c>
      <c r="P7" s="61" t="s">
        <v>331</v>
      </c>
    </row>
    <row r="8" spans="1:16" ht="180" x14ac:dyDescent="0.25">
      <c r="A8" s="59" t="s">
        <v>88</v>
      </c>
      <c r="B8" s="59" t="s">
        <v>31</v>
      </c>
      <c r="C8" s="59" t="s">
        <v>85</v>
      </c>
      <c r="D8" s="59" t="s">
        <v>83</v>
      </c>
      <c r="E8" s="59" t="s">
        <v>15</v>
      </c>
      <c r="F8" s="59" t="s">
        <v>18</v>
      </c>
      <c r="G8" s="56" t="s">
        <v>128</v>
      </c>
      <c r="H8" s="56" t="s">
        <v>123</v>
      </c>
      <c r="I8" s="56" t="s">
        <v>124</v>
      </c>
      <c r="J8" s="56" t="s">
        <v>125</v>
      </c>
      <c r="K8" s="56" t="s">
        <v>126</v>
      </c>
      <c r="L8" s="59"/>
      <c r="M8" s="59"/>
      <c r="N8" s="59" t="s">
        <v>127</v>
      </c>
      <c r="O8" s="53" t="s">
        <v>84</v>
      </c>
      <c r="P8" s="61" t="s">
        <v>331</v>
      </c>
    </row>
    <row r="9" spans="1:16" ht="131.25" customHeight="1" x14ac:dyDescent="0.25">
      <c r="A9" s="59" t="s">
        <v>82</v>
      </c>
      <c r="B9" s="59" t="s">
        <v>30</v>
      </c>
      <c r="C9" s="59" t="s">
        <v>33</v>
      </c>
      <c r="D9" s="59" t="s">
        <v>83</v>
      </c>
      <c r="E9" s="59" t="s">
        <v>15</v>
      </c>
      <c r="F9" s="59" t="s">
        <v>19</v>
      </c>
      <c r="G9" s="56" t="s">
        <v>129</v>
      </c>
      <c r="H9" s="56" t="s">
        <v>130</v>
      </c>
      <c r="I9" s="56" t="s">
        <v>131</v>
      </c>
      <c r="J9" s="56" t="s">
        <v>132</v>
      </c>
      <c r="K9" s="56" t="s">
        <v>101</v>
      </c>
      <c r="L9" s="59"/>
      <c r="M9" s="59"/>
      <c r="N9" s="59">
        <v>2</v>
      </c>
      <c r="O9" s="53" t="s">
        <v>84</v>
      </c>
    </row>
    <row r="10" spans="1:16" ht="71.25" customHeight="1" x14ac:dyDescent="0.25">
      <c r="A10" s="59" t="s">
        <v>82</v>
      </c>
      <c r="B10" s="59" t="s">
        <v>30</v>
      </c>
      <c r="C10" s="59" t="s">
        <v>85</v>
      </c>
      <c r="D10" s="59" t="s">
        <v>83</v>
      </c>
      <c r="E10" s="59" t="s">
        <v>15</v>
      </c>
      <c r="F10" s="59" t="s">
        <v>20</v>
      </c>
      <c r="G10" s="56" t="s">
        <v>133</v>
      </c>
      <c r="H10" s="56" t="s">
        <v>134</v>
      </c>
      <c r="I10" s="56" t="s">
        <v>135</v>
      </c>
      <c r="J10" s="56" t="s">
        <v>136</v>
      </c>
      <c r="K10" s="56" t="s">
        <v>137</v>
      </c>
      <c r="L10" s="59"/>
      <c r="M10" s="59"/>
      <c r="N10" s="59">
        <v>2</v>
      </c>
      <c r="O10" s="53" t="s">
        <v>84</v>
      </c>
    </row>
    <row r="11" spans="1:16" ht="105" x14ac:dyDescent="0.25">
      <c r="A11" s="59" t="s">
        <v>88</v>
      </c>
      <c r="B11" s="59" t="s">
        <v>30</v>
      </c>
      <c r="C11" s="59" t="s">
        <v>85</v>
      </c>
      <c r="D11" s="59" t="s">
        <v>83</v>
      </c>
      <c r="E11" s="59" t="s">
        <v>15</v>
      </c>
      <c r="F11" s="59" t="s">
        <v>20</v>
      </c>
      <c r="G11" s="56" t="s">
        <v>138</v>
      </c>
      <c r="H11" s="56" t="s">
        <v>139</v>
      </c>
      <c r="I11" s="56" t="s">
        <v>140</v>
      </c>
      <c r="J11" s="56" t="s">
        <v>141</v>
      </c>
      <c r="K11" s="56" t="s">
        <v>142</v>
      </c>
      <c r="L11" s="59"/>
      <c r="M11" s="59"/>
      <c r="N11" s="59" t="s">
        <v>143</v>
      </c>
      <c r="O11" s="53" t="s">
        <v>84</v>
      </c>
    </row>
    <row r="12" spans="1:16" ht="214.5" customHeight="1" x14ac:dyDescent="0.25">
      <c r="A12" s="59" t="s">
        <v>82</v>
      </c>
      <c r="B12" s="59" t="s">
        <v>31</v>
      </c>
      <c r="C12" s="59" t="s">
        <v>85</v>
      </c>
      <c r="D12" s="59" t="s">
        <v>83</v>
      </c>
      <c r="E12" s="59" t="s">
        <v>15</v>
      </c>
      <c r="F12" s="59" t="s">
        <v>20</v>
      </c>
      <c r="G12" s="56" t="s">
        <v>144</v>
      </c>
      <c r="H12" s="56" t="s">
        <v>145</v>
      </c>
      <c r="I12" s="56" t="s">
        <v>146</v>
      </c>
      <c r="J12" s="56" t="s">
        <v>218</v>
      </c>
      <c r="K12" s="56" t="s">
        <v>147</v>
      </c>
      <c r="L12" s="59"/>
      <c r="M12" s="59"/>
      <c r="N12" s="59">
        <v>3</v>
      </c>
      <c r="O12" s="53" t="s">
        <v>84</v>
      </c>
    </row>
    <row r="13" spans="1:16" ht="174" customHeight="1" x14ac:dyDescent="0.25">
      <c r="A13" s="59" t="s">
        <v>82</v>
      </c>
      <c r="B13" s="59" t="s">
        <v>31</v>
      </c>
      <c r="C13" s="59" t="s">
        <v>85</v>
      </c>
      <c r="D13" s="59" t="s">
        <v>83</v>
      </c>
      <c r="E13" s="59" t="s">
        <v>15</v>
      </c>
      <c r="F13" s="59" t="s">
        <v>21</v>
      </c>
      <c r="G13" s="56" t="s">
        <v>148</v>
      </c>
      <c r="H13" s="56" t="s">
        <v>149</v>
      </c>
      <c r="I13" s="56" t="s">
        <v>150</v>
      </c>
      <c r="J13" s="56" t="s">
        <v>151</v>
      </c>
      <c r="K13" s="56" t="s">
        <v>152</v>
      </c>
      <c r="L13" s="59"/>
      <c r="M13" s="59"/>
      <c r="N13" s="59">
        <v>1</v>
      </c>
      <c r="O13" s="53" t="s">
        <v>84</v>
      </c>
    </row>
    <row r="14" spans="1:16" ht="50.25" customHeight="1" x14ac:dyDescent="0.25">
      <c r="A14" s="59" t="s">
        <v>88</v>
      </c>
      <c r="B14" s="59" t="s">
        <v>30</v>
      </c>
      <c r="C14" s="59" t="s">
        <v>33</v>
      </c>
      <c r="D14" s="59" t="s">
        <v>83</v>
      </c>
      <c r="E14" s="59" t="s">
        <v>15</v>
      </c>
      <c r="F14" s="59" t="s">
        <v>21</v>
      </c>
      <c r="G14" s="56" t="s">
        <v>153</v>
      </c>
      <c r="H14" s="56" t="s">
        <v>154</v>
      </c>
      <c r="I14" s="56" t="s">
        <v>155</v>
      </c>
      <c r="J14" s="56" t="s">
        <v>156</v>
      </c>
      <c r="K14" s="56" t="s">
        <v>157</v>
      </c>
      <c r="L14" s="54"/>
      <c r="M14" s="54"/>
      <c r="N14" s="59" t="s">
        <v>93</v>
      </c>
      <c r="O14" s="53" t="s">
        <v>84</v>
      </c>
    </row>
    <row r="15" spans="1:16" ht="63" customHeight="1" x14ac:dyDescent="0.25">
      <c r="A15" s="59" t="s">
        <v>82</v>
      </c>
      <c r="B15" s="59" t="s">
        <v>30</v>
      </c>
      <c r="C15" s="59" t="s">
        <v>85</v>
      </c>
      <c r="D15" s="59" t="s">
        <v>83</v>
      </c>
      <c r="E15" s="59" t="s">
        <v>15</v>
      </c>
      <c r="F15" s="59" t="s">
        <v>329</v>
      </c>
      <c r="G15" s="56" t="s">
        <v>158</v>
      </c>
      <c r="H15" s="56" t="s">
        <v>159</v>
      </c>
      <c r="I15" s="56" t="s">
        <v>160</v>
      </c>
      <c r="J15" s="56" t="s">
        <v>161</v>
      </c>
      <c r="K15" s="56" t="s">
        <v>162</v>
      </c>
      <c r="L15" s="59"/>
      <c r="M15" s="59"/>
      <c r="N15" s="59">
        <v>4</v>
      </c>
      <c r="O15" s="53" t="s">
        <v>84</v>
      </c>
    </row>
    <row r="16" spans="1:16" ht="85.5" customHeight="1" x14ac:dyDescent="0.25">
      <c r="A16" s="59" t="s">
        <v>82</v>
      </c>
      <c r="B16" s="59" t="s">
        <v>30</v>
      </c>
      <c r="C16" s="59" t="s">
        <v>33</v>
      </c>
      <c r="D16" s="59" t="s">
        <v>83</v>
      </c>
      <c r="E16" s="59" t="s">
        <v>15</v>
      </c>
      <c r="F16" s="59" t="s">
        <v>329</v>
      </c>
      <c r="G16" s="56" t="s">
        <v>163</v>
      </c>
      <c r="H16" s="56" t="s">
        <v>164</v>
      </c>
      <c r="I16" s="56" t="s">
        <v>165</v>
      </c>
      <c r="J16" s="56" t="s">
        <v>166</v>
      </c>
      <c r="K16" s="56" t="s">
        <v>137</v>
      </c>
      <c r="L16" s="59"/>
      <c r="M16" s="59"/>
      <c r="N16" s="59">
        <v>2</v>
      </c>
      <c r="O16" s="53" t="s">
        <v>84</v>
      </c>
    </row>
    <row r="17" spans="1:16" ht="30" x14ac:dyDescent="0.25">
      <c r="A17" s="59" t="s">
        <v>82</v>
      </c>
      <c r="B17" s="59" t="s">
        <v>30</v>
      </c>
      <c r="C17" s="59" t="s">
        <v>33</v>
      </c>
      <c r="D17" s="59" t="s">
        <v>83</v>
      </c>
      <c r="E17" s="59" t="s">
        <v>28</v>
      </c>
      <c r="F17" s="59" t="s">
        <v>58</v>
      </c>
      <c r="G17" s="56" t="s">
        <v>219</v>
      </c>
      <c r="H17" s="56" t="s">
        <v>220</v>
      </c>
      <c r="I17" s="56" t="s">
        <v>221</v>
      </c>
      <c r="J17" s="56" t="s">
        <v>222</v>
      </c>
      <c r="K17" s="56" t="s">
        <v>90</v>
      </c>
      <c r="L17" s="59"/>
      <c r="M17" s="59"/>
      <c r="N17" s="59">
        <v>2</v>
      </c>
      <c r="O17" s="53" t="s">
        <v>84</v>
      </c>
      <c r="P17" s="87"/>
    </row>
    <row r="18" spans="1:16" ht="45" x14ac:dyDescent="0.25">
      <c r="A18" s="59" t="s">
        <v>82</v>
      </c>
      <c r="B18" s="59" t="s">
        <v>31</v>
      </c>
      <c r="C18" s="59" t="s">
        <v>33</v>
      </c>
      <c r="D18" s="59" t="s">
        <v>83</v>
      </c>
      <c r="E18" s="59" t="s">
        <v>28</v>
      </c>
      <c r="F18" s="59" t="s">
        <v>58</v>
      </c>
      <c r="G18" s="56" t="s">
        <v>223</v>
      </c>
      <c r="H18" s="56" t="s">
        <v>192</v>
      </c>
      <c r="I18" s="56" t="s">
        <v>224</v>
      </c>
      <c r="J18" s="56" t="s">
        <v>193</v>
      </c>
      <c r="K18" s="56" t="s">
        <v>90</v>
      </c>
      <c r="L18" s="59"/>
      <c r="M18" s="59"/>
      <c r="N18" s="59">
        <v>3</v>
      </c>
      <c r="O18" s="53" t="s">
        <v>84</v>
      </c>
      <c r="P18" s="87"/>
    </row>
    <row r="19" spans="1:16" ht="75" x14ac:dyDescent="0.25">
      <c r="A19" s="59" t="s">
        <v>82</v>
      </c>
      <c r="B19" s="59" t="s">
        <v>30</v>
      </c>
      <c r="C19" s="59" t="s">
        <v>33</v>
      </c>
      <c r="D19" s="59" t="s">
        <v>83</v>
      </c>
      <c r="E19" s="59" t="s">
        <v>28</v>
      </c>
      <c r="F19" s="59" t="s">
        <v>59</v>
      </c>
      <c r="G19" s="56" t="s">
        <v>225</v>
      </c>
      <c r="H19" s="56" t="s">
        <v>194</v>
      </c>
      <c r="I19" s="56" t="s">
        <v>227</v>
      </c>
      <c r="J19" s="56" t="s">
        <v>228</v>
      </c>
      <c r="K19" s="56" t="s">
        <v>226</v>
      </c>
      <c r="L19" s="59"/>
      <c r="M19" s="59"/>
      <c r="N19" s="59">
        <v>3</v>
      </c>
      <c r="O19" s="53" t="s">
        <v>84</v>
      </c>
      <c r="P19" s="87"/>
    </row>
    <row r="20" spans="1:16" ht="276.75" customHeight="1" x14ac:dyDescent="0.25">
      <c r="A20" s="59" t="s">
        <v>82</v>
      </c>
      <c r="B20" s="59" t="s">
        <v>31</v>
      </c>
      <c r="C20" s="59" t="s">
        <v>33</v>
      </c>
      <c r="D20" s="59" t="s">
        <v>83</v>
      </c>
      <c r="E20" s="59" t="s">
        <v>28</v>
      </c>
      <c r="F20" s="59" t="s">
        <v>59</v>
      </c>
      <c r="G20" s="56" t="s">
        <v>229</v>
      </c>
      <c r="H20" s="56" t="s">
        <v>231</v>
      </c>
      <c r="I20" s="56" t="s">
        <v>232</v>
      </c>
      <c r="J20" s="56" t="s">
        <v>230</v>
      </c>
      <c r="K20" s="56" t="s">
        <v>233</v>
      </c>
      <c r="L20" s="59"/>
      <c r="M20" s="59"/>
      <c r="N20" s="59">
        <v>3</v>
      </c>
      <c r="O20" s="53" t="s">
        <v>84</v>
      </c>
    </row>
    <row r="21" spans="1:16" ht="75" x14ac:dyDescent="0.25">
      <c r="A21" s="59" t="s">
        <v>82</v>
      </c>
      <c r="B21" s="59" t="s">
        <v>30</v>
      </c>
      <c r="C21" s="59" t="s">
        <v>33</v>
      </c>
      <c r="D21" s="59" t="s">
        <v>83</v>
      </c>
      <c r="E21" s="59" t="s">
        <v>28</v>
      </c>
      <c r="F21" s="59" t="s">
        <v>60</v>
      </c>
      <c r="G21" s="56" t="s">
        <v>234</v>
      </c>
      <c r="H21" s="56" t="s">
        <v>208</v>
      </c>
      <c r="I21" s="56" t="s">
        <v>209</v>
      </c>
      <c r="J21" s="56" t="s">
        <v>210</v>
      </c>
      <c r="K21" s="56" t="s">
        <v>211</v>
      </c>
      <c r="L21" s="59"/>
      <c r="M21" s="59"/>
      <c r="N21" s="59">
        <v>2</v>
      </c>
      <c r="O21" s="53" t="s">
        <v>84</v>
      </c>
      <c r="P21" s="86" t="s">
        <v>336</v>
      </c>
    </row>
    <row r="22" spans="1:16" ht="195" x14ac:dyDescent="0.25">
      <c r="A22" s="59" t="s">
        <v>82</v>
      </c>
      <c r="B22" s="59" t="s">
        <v>31</v>
      </c>
      <c r="C22" s="59" t="s">
        <v>85</v>
      </c>
      <c r="D22" s="59" t="s">
        <v>83</v>
      </c>
      <c r="E22" s="59" t="s">
        <v>28</v>
      </c>
      <c r="F22" s="59" t="s">
        <v>60</v>
      </c>
      <c r="G22" s="56" t="s">
        <v>235</v>
      </c>
      <c r="H22" s="56" t="s">
        <v>181</v>
      </c>
      <c r="I22" s="56" t="s">
        <v>182</v>
      </c>
      <c r="J22" s="56" t="s">
        <v>183</v>
      </c>
      <c r="K22" s="56" t="s">
        <v>184</v>
      </c>
      <c r="L22" s="59"/>
      <c r="M22" s="59"/>
      <c r="N22" s="59">
        <v>1</v>
      </c>
      <c r="O22" s="53" t="s">
        <v>84</v>
      </c>
    </row>
    <row r="23" spans="1:16" ht="150" x14ac:dyDescent="0.25">
      <c r="A23" s="59" t="s">
        <v>82</v>
      </c>
      <c r="B23" s="59" t="s">
        <v>30</v>
      </c>
      <c r="C23" s="59" t="s">
        <v>85</v>
      </c>
      <c r="D23" s="59" t="s">
        <v>83</v>
      </c>
      <c r="E23" s="59" t="s">
        <v>28</v>
      </c>
      <c r="F23" s="59" t="s">
        <v>89</v>
      </c>
      <c r="G23" s="56" t="s">
        <v>236</v>
      </c>
      <c r="H23" s="56" t="s">
        <v>185</v>
      </c>
      <c r="I23" s="56" t="s">
        <v>186</v>
      </c>
      <c r="J23" s="56" t="s">
        <v>187</v>
      </c>
      <c r="K23" s="56" t="s">
        <v>175</v>
      </c>
      <c r="L23" s="59"/>
      <c r="M23" s="59"/>
      <c r="N23" s="59">
        <v>2</v>
      </c>
      <c r="O23" s="53" t="s">
        <v>84</v>
      </c>
    </row>
    <row r="24" spans="1:16" ht="45" x14ac:dyDescent="0.25">
      <c r="A24" s="59" t="s">
        <v>82</v>
      </c>
      <c r="B24" s="59" t="s">
        <v>30</v>
      </c>
      <c r="C24" s="59" t="s">
        <v>85</v>
      </c>
      <c r="D24" s="59" t="s">
        <v>83</v>
      </c>
      <c r="E24" s="59" t="s">
        <v>28</v>
      </c>
      <c r="F24" s="59" t="s">
        <v>89</v>
      </c>
      <c r="G24" s="56" t="s">
        <v>237</v>
      </c>
      <c r="H24" s="56" t="s">
        <v>195</v>
      </c>
      <c r="I24" s="56" t="s">
        <v>196</v>
      </c>
      <c r="J24" s="56" t="s">
        <v>197</v>
      </c>
      <c r="K24" s="56" t="s">
        <v>198</v>
      </c>
      <c r="L24" s="59"/>
      <c r="M24" s="59"/>
      <c r="N24" s="59">
        <v>3</v>
      </c>
      <c r="O24" s="53" t="s">
        <v>84</v>
      </c>
      <c r="P24" s="87"/>
    </row>
    <row r="25" spans="1:16" ht="135" x14ac:dyDescent="0.25">
      <c r="A25" s="59" t="s">
        <v>82</v>
      </c>
      <c r="B25" s="59" t="s">
        <v>30</v>
      </c>
      <c r="C25" s="59" t="s">
        <v>85</v>
      </c>
      <c r="D25" s="59" t="s">
        <v>83</v>
      </c>
      <c r="E25" s="59" t="s">
        <v>28</v>
      </c>
      <c r="F25" s="59" t="s">
        <v>89</v>
      </c>
      <c r="G25" s="56" t="s">
        <v>238</v>
      </c>
      <c r="H25" s="56" t="s">
        <v>199</v>
      </c>
      <c r="I25" s="56" t="s">
        <v>200</v>
      </c>
      <c r="J25" s="56" t="s">
        <v>202</v>
      </c>
      <c r="K25" s="56" t="s">
        <v>201</v>
      </c>
      <c r="L25" s="59"/>
      <c r="M25" s="59"/>
      <c r="N25" s="59">
        <v>4</v>
      </c>
      <c r="O25" s="53" t="s">
        <v>84</v>
      </c>
    </row>
    <row r="26" spans="1:16" ht="30" x14ac:dyDescent="0.25">
      <c r="A26" s="59" t="s">
        <v>82</v>
      </c>
      <c r="B26" s="59" t="s">
        <v>30</v>
      </c>
      <c r="C26" s="59" t="s">
        <v>85</v>
      </c>
      <c r="D26" s="59" t="s">
        <v>83</v>
      </c>
      <c r="E26" s="59" t="s">
        <v>28</v>
      </c>
      <c r="F26" s="59" t="s">
        <v>89</v>
      </c>
      <c r="G26" s="56" t="s">
        <v>203</v>
      </c>
      <c r="H26" s="56" t="s">
        <v>204</v>
      </c>
      <c r="I26" s="56" t="s">
        <v>205</v>
      </c>
      <c r="J26" s="56" t="s">
        <v>206</v>
      </c>
      <c r="K26" s="56" t="s">
        <v>207</v>
      </c>
      <c r="L26" s="59"/>
      <c r="M26" s="59"/>
      <c r="N26" s="59">
        <v>3</v>
      </c>
      <c r="O26" s="53" t="s">
        <v>84</v>
      </c>
      <c r="P26" s="87"/>
    </row>
    <row r="27" spans="1:16" ht="30" x14ac:dyDescent="0.25">
      <c r="A27" s="59" t="s">
        <v>82</v>
      </c>
      <c r="B27" s="59" t="s">
        <v>30</v>
      </c>
      <c r="C27" s="59" t="s">
        <v>85</v>
      </c>
      <c r="D27" s="59" t="s">
        <v>83</v>
      </c>
      <c r="E27" s="59" t="s">
        <v>28</v>
      </c>
      <c r="F27" s="59" t="s">
        <v>89</v>
      </c>
      <c r="G27" s="56" t="s">
        <v>239</v>
      </c>
      <c r="H27" s="56" t="s">
        <v>172</v>
      </c>
      <c r="I27" s="56" t="s">
        <v>173</v>
      </c>
      <c r="J27" s="56" t="s">
        <v>174</v>
      </c>
      <c r="K27" s="56" t="s">
        <v>175</v>
      </c>
      <c r="L27" s="59"/>
      <c r="M27" s="59"/>
      <c r="N27" s="59">
        <v>4</v>
      </c>
      <c r="O27" s="53" t="s">
        <v>84</v>
      </c>
      <c r="P27" s="87"/>
    </row>
    <row r="28" spans="1:16" ht="45" x14ac:dyDescent="0.25">
      <c r="A28" s="59" t="s">
        <v>82</v>
      </c>
      <c r="B28" s="59" t="s">
        <v>31</v>
      </c>
      <c r="C28" s="59" t="s">
        <v>85</v>
      </c>
      <c r="D28" s="59" t="s">
        <v>83</v>
      </c>
      <c r="E28" s="59" t="s">
        <v>28</v>
      </c>
      <c r="F28" s="59" t="s">
        <v>89</v>
      </c>
      <c r="G28" s="56" t="s">
        <v>179</v>
      </c>
      <c r="H28" s="56" t="s">
        <v>176</v>
      </c>
      <c r="I28" s="56" t="s">
        <v>177</v>
      </c>
      <c r="J28" s="56" t="s">
        <v>178</v>
      </c>
      <c r="K28" s="56" t="s">
        <v>180</v>
      </c>
      <c r="L28" s="59"/>
      <c r="M28" s="59"/>
      <c r="N28" s="59">
        <v>2</v>
      </c>
      <c r="O28" s="53" t="s">
        <v>84</v>
      </c>
      <c r="P28" s="87"/>
    </row>
    <row r="29" spans="1:16" ht="133.5" customHeight="1" x14ac:dyDescent="0.25">
      <c r="A29" s="59" t="s">
        <v>82</v>
      </c>
      <c r="B29" s="59" t="s">
        <v>30</v>
      </c>
      <c r="C29" s="59" t="s">
        <v>33</v>
      </c>
      <c r="D29" s="59" t="s">
        <v>83</v>
      </c>
      <c r="E29" s="59" t="s">
        <v>28</v>
      </c>
      <c r="F29" s="59" t="s">
        <v>89</v>
      </c>
      <c r="G29" s="56" t="s">
        <v>240</v>
      </c>
      <c r="H29" s="56" t="s">
        <v>188</v>
      </c>
      <c r="I29" s="56" t="s">
        <v>189</v>
      </c>
      <c r="J29" s="56" t="s">
        <v>190</v>
      </c>
      <c r="K29" s="56" t="s">
        <v>191</v>
      </c>
      <c r="L29" s="59"/>
      <c r="M29" s="59"/>
      <c r="N29" s="59">
        <v>4</v>
      </c>
      <c r="O29" s="53" t="s">
        <v>84</v>
      </c>
      <c r="P29" s="87"/>
    </row>
    <row r="30" spans="1:16" ht="60" x14ac:dyDescent="0.25">
      <c r="A30" s="59" t="s">
        <v>82</v>
      </c>
      <c r="B30" s="59" t="s">
        <v>31</v>
      </c>
      <c r="C30" s="59" t="s">
        <v>33</v>
      </c>
      <c r="D30" s="59" t="s">
        <v>83</v>
      </c>
      <c r="E30" s="59" t="s">
        <v>28</v>
      </c>
      <c r="F30" s="59" t="s">
        <v>89</v>
      </c>
      <c r="G30" s="56" t="s">
        <v>171</v>
      </c>
      <c r="H30" s="56" t="s">
        <v>167</v>
      </c>
      <c r="I30" s="56" t="s">
        <v>168</v>
      </c>
      <c r="J30" s="56" t="s">
        <v>169</v>
      </c>
      <c r="K30" s="56" t="s">
        <v>170</v>
      </c>
      <c r="L30" s="59"/>
      <c r="M30" s="59"/>
      <c r="N30" s="59">
        <v>2</v>
      </c>
      <c r="O30" s="53" t="s">
        <v>84</v>
      </c>
      <c r="P30" s="87"/>
    </row>
    <row r="31" spans="1:16" ht="30" x14ac:dyDescent="0.25">
      <c r="A31" s="59" t="s">
        <v>82</v>
      </c>
      <c r="B31" s="59" t="s">
        <v>30</v>
      </c>
      <c r="C31" s="59" t="s">
        <v>33</v>
      </c>
      <c r="D31" s="59" t="s">
        <v>83</v>
      </c>
      <c r="E31" s="59" t="s">
        <v>29</v>
      </c>
      <c r="F31" s="59" t="s">
        <v>327</v>
      </c>
      <c r="G31" s="56" t="s">
        <v>215</v>
      </c>
      <c r="H31" s="56" t="s">
        <v>212</v>
      </c>
      <c r="I31" s="56" t="s">
        <v>213</v>
      </c>
      <c r="J31" s="56" t="s">
        <v>214</v>
      </c>
      <c r="K31" s="56" t="s">
        <v>216</v>
      </c>
      <c r="L31" s="59"/>
      <c r="M31" s="59"/>
      <c r="N31" s="59">
        <v>1</v>
      </c>
      <c r="O31" s="53" t="s">
        <v>84</v>
      </c>
    </row>
    <row r="32" spans="1:16" ht="30" x14ac:dyDescent="0.25">
      <c r="A32" s="59" t="s">
        <v>82</v>
      </c>
      <c r="B32" s="59" t="s">
        <v>30</v>
      </c>
      <c r="C32" s="59" t="s">
        <v>33</v>
      </c>
      <c r="D32" s="59" t="s">
        <v>83</v>
      </c>
      <c r="E32" s="59" t="s">
        <v>29</v>
      </c>
      <c r="F32" s="56" t="s">
        <v>327</v>
      </c>
      <c r="G32" s="56" t="s">
        <v>333</v>
      </c>
      <c r="H32" s="56" t="s">
        <v>334</v>
      </c>
      <c r="I32" s="56" t="s">
        <v>66</v>
      </c>
      <c r="J32" s="56" t="s">
        <v>335</v>
      </c>
      <c r="K32" s="56" t="s">
        <v>92</v>
      </c>
      <c r="L32" s="63"/>
      <c r="M32" s="63"/>
      <c r="N32" s="59">
        <v>1</v>
      </c>
      <c r="O32" s="53" t="s">
        <v>84</v>
      </c>
      <c r="P32" s="61"/>
    </row>
    <row r="33" spans="1:16" ht="60" x14ac:dyDescent="0.25">
      <c r="A33" s="59" t="s">
        <v>82</v>
      </c>
      <c r="B33" s="59" t="s">
        <v>30</v>
      </c>
      <c r="C33" s="59" t="s">
        <v>33</v>
      </c>
      <c r="D33" s="59" t="s">
        <v>83</v>
      </c>
      <c r="E33" s="59" t="s">
        <v>29</v>
      </c>
      <c r="F33" s="59" t="s">
        <v>62</v>
      </c>
      <c r="G33" s="56" t="s">
        <v>256</v>
      </c>
      <c r="H33" s="56" t="s">
        <v>257</v>
      </c>
      <c r="I33" s="56" t="s">
        <v>258</v>
      </c>
      <c r="J33" s="56" t="s">
        <v>335</v>
      </c>
      <c r="K33" s="56" t="s">
        <v>259</v>
      </c>
      <c r="L33" s="59"/>
      <c r="M33" s="59"/>
      <c r="N33" s="59">
        <v>3</v>
      </c>
      <c r="O33" s="53" t="s">
        <v>84</v>
      </c>
    </row>
    <row r="34" spans="1:16" ht="60" x14ac:dyDescent="0.25">
      <c r="A34" s="59" t="s">
        <v>82</v>
      </c>
      <c r="B34" s="59" t="s">
        <v>31</v>
      </c>
      <c r="C34" s="59" t="s">
        <v>33</v>
      </c>
      <c r="D34" s="59" t="s">
        <v>83</v>
      </c>
      <c r="E34" s="59" t="s">
        <v>29</v>
      </c>
      <c r="F34" s="59" t="s">
        <v>62</v>
      </c>
      <c r="G34" s="56" t="s">
        <v>241</v>
      </c>
      <c r="H34" s="56" t="s">
        <v>242</v>
      </c>
      <c r="I34" s="56" t="s">
        <v>243</v>
      </c>
      <c r="J34" s="56" t="s">
        <v>244</v>
      </c>
      <c r="K34" s="56" t="s">
        <v>245</v>
      </c>
      <c r="L34" s="59"/>
      <c r="M34" s="59"/>
      <c r="N34" s="59">
        <v>2</v>
      </c>
      <c r="O34" s="53" t="s">
        <v>84</v>
      </c>
    </row>
    <row r="35" spans="1:16" ht="75" x14ac:dyDescent="0.25">
      <c r="A35" s="59" t="s">
        <v>82</v>
      </c>
      <c r="B35" s="59" t="s">
        <v>31</v>
      </c>
      <c r="C35" s="59" t="s">
        <v>33</v>
      </c>
      <c r="D35" s="59" t="s">
        <v>83</v>
      </c>
      <c r="E35" s="59" t="s">
        <v>29</v>
      </c>
      <c r="F35" s="59" t="s">
        <v>62</v>
      </c>
      <c r="G35" s="56" t="s">
        <v>246</v>
      </c>
      <c r="H35" s="56" t="s">
        <v>247</v>
      </c>
      <c r="I35" s="56" t="s">
        <v>248</v>
      </c>
      <c r="J35" s="56" t="s">
        <v>249</v>
      </c>
      <c r="K35" s="56" t="s">
        <v>250</v>
      </c>
      <c r="L35" s="59"/>
      <c r="M35" s="59"/>
      <c r="N35" s="59">
        <v>3</v>
      </c>
      <c r="O35" s="53" t="s">
        <v>84</v>
      </c>
    </row>
    <row r="36" spans="1:16" ht="60" x14ac:dyDescent="0.25">
      <c r="A36" s="59" t="s">
        <v>82</v>
      </c>
      <c r="B36" s="59" t="s">
        <v>30</v>
      </c>
      <c r="C36" s="59" t="s">
        <v>85</v>
      </c>
      <c r="D36" s="59" t="s">
        <v>83</v>
      </c>
      <c r="E36" s="59" t="s">
        <v>29</v>
      </c>
      <c r="F36" s="59" t="s">
        <v>62</v>
      </c>
      <c r="G36" s="56" t="s">
        <v>255</v>
      </c>
      <c r="H36" s="56" t="s">
        <v>251</v>
      </c>
      <c r="I36" s="56" t="s">
        <v>252</v>
      </c>
      <c r="J36" s="56" t="s">
        <v>253</v>
      </c>
      <c r="K36" s="56" t="s">
        <v>254</v>
      </c>
      <c r="L36" s="59"/>
      <c r="M36" s="59"/>
      <c r="N36" s="59">
        <v>3</v>
      </c>
      <c r="O36" s="53" t="s">
        <v>84</v>
      </c>
    </row>
    <row r="37" spans="1:16" ht="90" x14ac:dyDescent="0.25">
      <c r="A37" s="59" t="s">
        <v>82</v>
      </c>
      <c r="B37" s="59" t="s">
        <v>31</v>
      </c>
      <c r="C37" s="59" t="s">
        <v>85</v>
      </c>
      <c r="D37" s="59" t="s">
        <v>83</v>
      </c>
      <c r="E37" s="59" t="s">
        <v>29</v>
      </c>
      <c r="F37" s="59" t="s">
        <v>62</v>
      </c>
      <c r="G37" s="56" t="s">
        <v>260</v>
      </c>
      <c r="H37" s="56" t="s">
        <v>261</v>
      </c>
      <c r="I37" s="56" t="s">
        <v>264</v>
      </c>
      <c r="J37" s="56" t="s">
        <v>262</v>
      </c>
      <c r="K37" s="56" t="s">
        <v>263</v>
      </c>
      <c r="L37" s="59"/>
      <c r="M37" s="59"/>
      <c r="N37" s="59">
        <v>3</v>
      </c>
      <c r="O37" s="53" t="s">
        <v>84</v>
      </c>
    </row>
    <row r="38" spans="1:16" ht="45" x14ac:dyDescent="0.25">
      <c r="A38" s="59" t="s">
        <v>82</v>
      </c>
      <c r="B38" s="59" t="s">
        <v>30</v>
      </c>
      <c r="C38" s="59" t="s">
        <v>33</v>
      </c>
      <c r="D38" s="59" t="s">
        <v>83</v>
      </c>
      <c r="E38" s="59" t="s">
        <v>29</v>
      </c>
      <c r="F38" s="59" t="s">
        <v>330</v>
      </c>
      <c r="G38" s="62" t="s">
        <v>332</v>
      </c>
      <c r="H38" s="56" t="s">
        <v>265</v>
      </c>
      <c r="I38" s="56" t="s">
        <v>266</v>
      </c>
      <c r="J38" s="56" t="s">
        <v>267</v>
      </c>
      <c r="K38" s="56" t="s">
        <v>268</v>
      </c>
      <c r="L38" s="59"/>
      <c r="M38" s="59"/>
      <c r="N38" s="59">
        <v>4</v>
      </c>
      <c r="O38" s="53" t="s">
        <v>84</v>
      </c>
      <c r="P38" s="61"/>
    </row>
    <row r="39" spans="1:16" ht="30" x14ac:dyDescent="0.25">
      <c r="A39" s="59" t="s">
        <v>82</v>
      </c>
      <c r="B39" s="59" t="s">
        <v>31</v>
      </c>
      <c r="C39" s="59" t="s">
        <v>33</v>
      </c>
      <c r="D39" s="59" t="s">
        <v>83</v>
      </c>
      <c r="E39" s="59" t="s">
        <v>29</v>
      </c>
      <c r="F39" s="59" t="s">
        <v>330</v>
      </c>
      <c r="G39" s="56" t="s">
        <v>274</v>
      </c>
      <c r="H39" s="56" t="s">
        <v>270</v>
      </c>
      <c r="I39" s="56" t="s">
        <v>271</v>
      </c>
      <c r="J39" s="56" t="s">
        <v>272</v>
      </c>
      <c r="K39" s="56" t="s">
        <v>273</v>
      </c>
      <c r="L39" s="59"/>
      <c r="M39" s="59"/>
      <c r="N39" s="59">
        <v>3</v>
      </c>
      <c r="O39" s="53" t="s">
        <v>84</v>
      </c>
    </row>
    <row r="40" spans="1:16" ht="30" x14ac:dyDescent="0.25">
      <c r="A40" s="59" t="s">
        <v>82</v>
      </c>
      <c r="B40" s="59" t="s">
        <v>30</v>
      </c>
      <c r="C40" s="59" t="s">
        <v>85</v>
      </c>
      <c r="D40" s="59" t="s">
        <v>83</v>
      </c>
      <c r="E40" s="59" t="s">
        <v>29</v>
      </c>
      <c r="F40" s="59" t="s">
        <v>330</v>
      </c>
      <c r="G40" s="56" t="s">
        <v>269</v>
      </c>
      <c r="H40" s="56" t="b">
        <v>1</v>
      </c>
      <c r="I40" s="56" t="b">
        <v>0</v>
      </c>
      <c r="J40" s="56"/>
      <c r="K40" s="56"/>
      <c r="L40" s="59"/>
      <c r="M40" s="59"/>
      <c r="N40" s="59">
        <v>1</v>
      </c>
      <c r="O40" s="53" t="s">
        <v>84</v>
      </c>
    </row>
    <row r="41" spans="1:16" ht="30" x14ac:dyDescent="0.25">
      <c r="A41" s="59" t="s">
        <v>82</v>
      </c>
      <c r="B41" s="59" t="s">
        <v>31</v>
      </c>
      <c r="C41" s="59" t="s">
        <v>85</v>
      </c>
      <c r="D41" s="59" t="s">
        <v>83</v>
      </c>
      <c r="E41" s="59" t="s">
        <v>29</v>
      </c>
      <c r="F41" s="59" t="s">
        <v>330</v>
      </c>
      <c r="G41" s="56" t="s">
        <v>278</v>
      </c>
      <c r="H41" s="56" t="s">
        <v>275</v>
      </c>
      <c r="I41" s="56" t="s">
        <v>276</v>
      </c>
      <c r="J41" s="56" t="s">
        <v>277</v>
      </c>
      <c r="K41" s="56" t="s">
        <v>279</v>
      </c>
      <c r="L41" s="59"/>
      <c r="M41" s="59"/>
      <c r="N41" s="59">
        <v>3</v>
      </c>
      <c r="O41" s="53" t="s">
        <v>84</v>
      </c>
    </row>
    <row r="42" spans="1:16" ht="120" x14ac:dyDescent="0.25">
      <c r="A42" s="59" t="s">
        <v>82</v>
      </c>
      <c r="B42" s="59" t="s">
        <v>30</v>
      </c>
      <c r="C42" s="59" t="s">
        <v>33</v>
      </c>
      <c r="D42" s="59" t="s">
        <v>83</v>
      </c>
      <c r="E42" s="59" t="s">
        <v>29</v>
      </c>
      <c r="F42" s="59" t="s">
        <v>326</v>
      </c>
      <c r="G42" s="56" t="s">
        <v>284</v>
      </c>
      <c r="H42" s="56" t="s">
        <v>280</v>
      </c>
      <c r="I42" s="56" t="s">
        <v>283</v>
      </c>
      <c r="J42" s="56" t="s">
        <v>281</v>
      </c>
      <c r="K42" s="56" t="s">
        <v>282</v>
      </c>
      <c r="L42" s="59"/>
      <c r="M42" s="59"/>
      <c r="N42" s="59">
        <v>1</v>
      </c>
      <c r="O42" s="53" t="s">
        <v>84</v>
      </c>
    </row>
    <row r="43" spans="1:16" ht="75" x14ac:dyDescent="0.25">
      <c r="A43" s="59" t="s">
        <v>82</v>
      </c>
      <c r="B43" s="59" t="s">
        <v>30</v>
      </c>
      <c r="C43" s="59" t="s">
        <v>33</v>
      </c>
      <c r="D43" s="59" t="s">
        <v>83</v>
      </c>
      <c r="E43" s="59" t="s">
        <v>29</v>
      </c>
      <c r="F43" s="59" t="s">
        <v>326</v>
      </c>
      <c r="G43" s="56" t="s">
        <v>289</v>
      </c>
      <c r="H43" s="56" t="s">
        <v>285</v>
      </c>
      <c r="I43" s="56" t="s">
        <v>286</v>
      </c>
      <c r="J43" s="56" t="s">
        <v>287</v>
      </c>
      <c r="K43" s="56" t="s">
        <v>288</v>
      </c>
      <c r="L43" s="59"/>
      <c r="M43" s="59"/>
      <c r="N43" s="59">
        <v>1</v>
      </c>
      <c r="O43" s="53" t="s">
        <v>84</v>
      </c>
    </row>
    <row r="44" spans="1:16" ht="75" x14ac:dyDescent="0.25">
      <c r="A44" s="59" t="s">
        <v>82</v>
      </c>
      <c r="B44" s="59" t="s">
        <v>30</v>
      </c>
      <c r="C44" s="59" t="s">
        <v>33</v>
      </c>
      <c r="D44" s="59" t="s">
        <v>83</v>
      </c>
      <c r="E44" s="59" t="s">
        <v>29</v>
      </c>
      <c r="F44" s="59" t="s">
        <v>326</v>
      </c>
      <c r="G44" s="56" t="s">
        <v>290</v>
      </c>
      <c r="H44" s="56" t="s">
        <v>291</v>
      </c>
      <c r="I44" s="56" t="s">
        <v>292</v>
      </c>
      <c r="J44" s="56" t="s">
        <v>293</v>
      </c>
      <c r="K44" s="56" t="s">
        <v>294</v>
      </c>
      <c r="L44" s="59"/>
      <c r="M44" s="59"/>
      <c r="N44" s="59">
        <v>4</v>
      </c>
      <c r="O44" s="53" t="s">
        <v>84</v>
      </c>
    </row>
    <row r="45" spans="1:16" ht="150" x14ac:dyDescent="0.25">
      <c r="A45" s="59" t="s">
        <v>82</v>
      </c>
      <c r="B45" s="59" t="s">
        <v>30</v>
      </c>
      <c r="C45" s="59" t="s">
        <v>33</v>
      </c>
      <c r="D45" s="59" t="s">
        <v>83</v>
      </c>
      <c r="E45" s="59" t="s">
        <v>29</v>
      </c>
      <c r="F45" s="59" t="s">
        <v>326</v>
      </c>
      <c r="G45" s="56" t="s">
        <v>295</v>
      </c>
      <c r="H45" s="56" t="s">
        <v>296</v>
      </c>
      <c r="I45" s="56" t="s">
        <v>297</v>
      </c>
      <c r="J45" s="56" t="s">
        <v>298</v>
      </c>
      <c r="K45" s="56" t="s">
        <v>299</v>
      </c>
      <c r="L45" s="59"/>
      <c r="M45" s="59"/>
      <c r="N45" s="59">
        <v>2</v>
      </c>
      <c r="O45" s="53" t="s">
        <v>84</v>
      </c>
    </row>
    <row r="46" spans="1:16" ht="30" x14ac:dyDescent="0.25">
      <c r="A46" s="59" t="s">
        <v>82</v>
      </c>
      <c r="B46" s="59" t="s">
        <v>30</v>
      </c>
      <c r="C46" s="59" t="s">
        <v>33</v>
      </c>
      <c r="D46" s="59" t="s">
        <v>83</v>
      </c>
      <c r="E46" s="59" t="s">
        <v>29</v>
      </c>
      <c r="F46" s="59" t="s">
        <v>328</v>
      </c>
      <c r="G46" s="56" t="s">
        <v>304</v>
      </c>
      <c r="H46" s="56" t="s">
        <v>300</v>
      </c>
      <c r="I46" s="56" t="s">
        <v>301</v>
      </c>
      <c r="J46" s="56" t="s">
        <v>302</v>
      </c>
      <c r="K46" s="56" t="s">
        <v>303</v>
      </c>
      <c r="L46" s="59"/>
      <c r="M46" s="59"/>
      <c r="N46" s="59">
        <v>1</v>
      </c>
      <c r="O46" s="53" t="s">
        <v>84</v>
      </c>
    </row>
    <row r="47" spans="1:16" ht="120" x14ac:dyDescent="0.25">
      <c r="A47" s="59" t="s">
        <v>82</v>
      </c>
      <c r="B47" s="59" t="s">
        <v>31</v>
      </c>
      <c r="C47" s="59" t="s">
        <v>33</v>
      </c>
      <c r="D47" s="59" t="s">
        <v>83</v>
      </c>
      <c r="E47" s="59" t="s">
        <v>29</v>
      </c>
      <c r="F47" s="59" t="s">
        <v>328</v>
      </c>
      <c r="G47" s="56" t="s">
        <v>305</v>
      </c>
      <c r="H47" s="56" t="s">
        <v>306</v>
      </c>
      <c r="I47" s="56" t="s">
        <v>307</v>
      </c>
      <c r="J47" s="56" t="s">
        <v>308</v>
      </c>
      <c r="K47" s="56" t="s">
        <v>309</v>
      </c>
      <c r="L47" s="59"/>
      <c r="M47" s="59"/>
      <c r="N47" s="59">
        <v>3</v>
      </c>
      <c r="O47" s="53" t="s">
        <v>84</v>
      </c>
    </row>
    <row r="48" spans="1:16" ht="30" x14ac:dyDescent="0.25">
      <c r="A48" s="59" t="s">
        <v>82</v>
      </c>
      <c r="B48" s="59" t="s">
        <v>30</v>
      </c>
      <c r="C48" s="59" t="s">
        <v>85</v>
      </c>
      <c r="D48" s="59" t="s">
        <v>83</v>
      </c>
      <c r="E48" s="59" t="s">
        <v>29</v>
      </c>
      <c r="F48" s="59" t="s">
        <v>66</v>
      </c>
      <c r="G48" s="56" t="s">
        <v>314</v>
      </c>
      <c r="H48" s="56" t="s">
        <v>310</v>
      </c>
      <c r="I48" s="56" t="s">
        <v>311</v>
      </c>
      <c r="J48" s="56" t="s">
        <v>312</v>
      </c>
      <c r="K48" s="56" t="s">
        <v>313</v>
      </c>
      <c r="L48" s="59"/>
      <c r="M48" s="59"/>
      <c r="N48" s="59">
        <v>3</v>
      </c>
      <c r="O48" s="53" t="s">
        <v>84</v>
      </c>
    </row>
    <row r="49" spans="1:15" ht="45" x14ac:dyDescent="0.25">
      <c r="A49" s="59" t="s">
        <v>82</v>
      </c>
      <c r="B49" s="59" t="s">
        <v>30</v>
      </c>
      <c r="C49" s="59" t="s">
        <v>85</v>
      </c>
      <c r="D49" s="59" t="s">
        <v>83</v>
      </c>
      <c r="E49" s="59" t="s">
        <v>29</v>
      </c>
      <c r="F49" s="59" t="s">
        <v>66</v>
      </c>
      <c r="G49" s="56" t="s">
        <v>321</v>
      </c>
      <c r="H49" s="56" t="s">
        <v>324</v>
      </c>
      <c r="I49" s="56" t="s">
        <v>322</v>
      </c>
      <c r="J49" s="56" t="s">
        <v>320</v>
      </c>
      <c r="K49" s="56" t="s">
        <v>323</v>
      </c>
      <c r="L49" s="59"/>
      <c r="M49" s="59"/>
      <c r="N49" s="59">
        <v>3</v>
      </c>
      <c r="O49" s="53" t="s">
        <v>84</v>
      </c>
    </row>
    <row r="50" spans="1:15" x14ac:dyDescent="0.25">
      <c r="A50" s="59" t="s">
        <v>82</v>
      </c>
      <c r="B50" s="59" t="s">
        <v>30</v>
      </c>
      <c r="C50" s="59" t="s">
        <v>33</v>
      </c>
      <c r="D50" s="59" t="s">
        <v>83</v>
      </c>
      <c r="E50" s="59" t="s">
        <v>29</v>
      </c>
      <c r="F50" s="59" t="s">
        <v>66</v>
      </c>
      <c r="G50" s="56" t="s">
        <v>315</v>
      </c>
      <c r="H50" s="56" t="s">
        <v>319</v>
      </c>
      <c r="I50" s="56" t="s">
        <v>316</v>
      </c>
      <c r="J50" s="56" t="s">
        <v>317</v>
      </c>
      <c r="K50" s="56" t="s">
        <v>318</v>
      </c>
      <c r="L50" s="59"/>
      <c r="M50" s="59"/>
      <c r="N50" s="59">
        <v>2</v>
      </c>
      <c r="O50" s="53" t="s">
        <v>84</v>
      </c>
    </row>
  </sheetData>
  <autoFilter ref="A1:P50"/>
  <dataValidations count="1">
    <dataValidation type="list" allowBlank="1" showInputMessage="1" showErrorMessage="1" sqref="O2:O50">
      <formula1>"None,All,Except Last,Except Last Two"</formula1>
    </dataValidation>
  </dataValidations>
  <pageMargins left="0.7" right="0.7" top="0.75" bottom="0.75" header="0.3" footer="0.5"/>
  <pageSetup orientation="portrait" r:id="rId1"/>
  <headerFooter>
    <oddFooter>&amp;C&amp;"Candara,Bold"&amp;11 Capgemini Internal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14" sqref="K14"/>
    </sheetView>
  </sheetViews>
  <sheetFormatPr defaultRowHeight="15" x14ac:dyDescent="0.25"/>
  <sheetData/>
  <pageMargins left="0.7" right="0.7" top="0.75" bottom="0.75" header="0.3" footer="0.5"/>
  <pageSetup orientation="portrait" r:id="rId1"/>
  <headerFooter>
    <oddFooter>&amp;C&amp;"Candara,Bold"&amp;11 Capgemini Internal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election activeCell="L20" sqref="L20"/>
    </sheetView>
  </sheetViews>
  <sheetFormatPr defaultRowHeight="15" x14ac:dyDescent="0.25"/>
  <sheetData/>
  <pageMargins left="0.7" right="0.7" top="0.75" bottom="0.75" header="0.3" footer="0.5"/>
  <pageSetup orientation="portrait" r:id="rId1"/>
  <headerFooter>
    <oddFooter>&amp;C&amp;"Candara,Bold"&amp;11 Capgemini Internal</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I22" sqref="I22"/>
    </sheetView>
  </sheetViews>
  <sheetFormatPr defaultRowHeight="15" x14ac:dyDescent="0.25"/>
  <sheetData/>
  <pageMargins left="0.7" right="0.7" top="0.75" bottom="0.75" header="0.3" footer="0.5"/>
  <pageSetup orientation="portrait" r:id="rId1"/>
  <headerFooter>
    <oddFooter>&amp;C&amp;"Candara,Bold"&amp;11 Capgemini Internal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73"/>
  <sheetViews>
    <sheetView topLeftCell="A2" zoomScale="90" zoomScaleNormal="90" workbookViewId="0">
      <pane xSplit="2" ySplit="4" topLeftCell="C30" activePane="bottomRight" state="frozen"/>
      <selection activeCell="A2" sqref="A2"/>
      <selection pane="topRight" activeCell="C2" sqref="C2"/>
      <selection pane="bottomLeft" activeCell="A7" sqref="A7"/>
      <selection pane="bottomRight" activeCell="D4" sqref="D4:D5"/>
    </sheetView>
  </sheetViews>
  <sheetFormatPr defaultRowHeight="15" x14ac:dyDescent="0.25"/>
  <cols>
    <col min="1" max="1" width="5.7109375" style="16" customWidth="1"/>
    <col min="2" max="2" width="43.140625" style="17" bestFit="1" customWidth="1"/>
    <col min="3" max="3" width="21" style="16" customWidth="1"/>
    <col min="4" max="4" width="9.5703125" style="16" customWidth="1"/>
    <col min="5" max="5" width="8.85546875" style="16" customWidth="1"/>
    <col min="6" max="6" width="7.85546875" style="16" customWidth="1"/>
    <col min="7" max="9" width="9.140625" style="16"/>
    <col min="10" max="10" width="31.42578125" style="16" customWidth="1"/>
    <col min="11" max="16384" width="9.140625" style="16"/>
  </cols>
  <sheetData>
    <row r="1" spans="2:9" ht="15.75" hidden="1" customHeight="1" thickBot="1" x14ac:dyDescent="0.3"/>
    <row r="2" spans="2:9" ht="25.5" customHeight="1" thickBot="1" x14ac:dyDescent="0.3">
      <c r="B2" s="75" t="s">
        <v>40</v>
      </c>
      <c r="C2" s="76"/>
      <c r="D2" s="76"/>
      <c r="E2" s="76"/>
      <c r="F2" s="76"/>
      <c r="G2" s="76"/>
      <c r="H2" s="76"/>
      <c r="I2" s="77"/>
    </row>
    <row r="3" spans="2:9" s="19" customFormat="1" ht="25.5" customHeight="1" thickBot="1" x14ac:dyDescent="0.3">
      <c r="B3" s="20"/>
      <c r="C3" s="20"/>
      <c r="D3" s="20"/>
      <c r="E3" s="20"/>
      <c r="F3" s="20"/>
      <c r="G3" s="20"/>
      <c r="H3" s="20"/>
      <c r="I3" s="20"/>
    </row>
    <row r="4" spans="2:9" s="26" customFormat="1" ht="16.5" customHeight="1" thickBot="1" x14ac:dyDescent="0.3">
      <c r="B4" s="78" t="s">
        <v>0</v>
      </c>
      <c r="C4" s="80" t="s">
        <v>1</v>
      </c>
      <c r="D4" s="82" t="s">
        <v>30</v>
      </c>
      <c r="E4" s="84" t="s">
        <v>31</v>
      </c>
      <c r="F4" s="67" t="s">
        <v>32</v>
      </c>
      <c r="G4" s="68"/>
      <c r="H4" s="69" t="s">
        <v>33</v>
      </c>
      <c r="I4" s="68"/>
    </row>
    <row r="5" spans="2:9" s="26" customFormat="1" ht="47.25" customHeight="1" thickBot="1" x14ac:dyDescent="0.3">
      <c r="B5" s="79"/>
      <c r="C5" s="81"/>
      <c r="D5" s="83"/>
      <c r="E5" s="85"/>
      <c r="F5" s="31" t="s">
        <v>30</v>
      </c>
      <c r="G5" s="32" t="s">
        <v>31</v>
      </c>
      <c r="H5" s="33" t="s">
        <v>30</v>
      </c>
      <c r="I5" s="32" t="s">
        <v>31</v>
      </c>
    </row>
    <row r="6" spans="2:9" x14ac:dyDescent="0.25">
      <c r="B6" s="64" t="s">
        <v>2</v>
      </c>
      <c r="C6" s="65"/>
      <c r="D6" s="65"/>
      <c r="E6" s="65"/>
      <c r="F6" s="65"/>
      <c r="G6" s="65"/>
      <c r="H6" s="65"/>
      <c r="I6" s="66"/>
    </row>
    <row r="7" spans="2:9" x14ac:dyDescent="0.25">
      <c r="B7" s="12" t="s">
        <v>9</v>
      </c>
      <c r="C7" s="7"/>
      <c r="D7" s="7"/>
      <c r="E7" s="7"/>
      <c r="F7" s="7"/>
      <c r="G7" s="7"/>
      <c r="H7" s="7"/>
      <c r="I7" s="15"/>
    </row>
    <row r="8" spans="2:9" x14ac:dyDescent="0.25">
      <c r="B8" s="8" t="s">
        <v>41</v>
      </c>
      <c r="C8" s="1">
        <f>D8+E8</f>
        <v>1</v>
      </c>
      <c r="D8" s="1">
        <f t="shared" ref="D8:E10" si="0">F8+H8</f>
        <v>0</v>
      </c>
      <c r="E8" s="1">
        <f t="shared" si="0"/>
        <v>1</v>
      </c>
      <c r="F8" s="2">
        <v>0</v>
      </c>
      <c r="G8" s="2">
        <v>0</v>
      </c>
      <c r="H8" s="2">
        <v>0</v>
      </c>
      <c r="I8" s="9">
        <v>1</v>
      </c>
    </row>
    <row r="9" spans="2:9" x14ac:dyDescent="0.25">
      <c r="B9" s="8" t="s">
        <v>42</v>
      </c>
      <c r="C9" s="1">
        <f>D9+E9</f>
        <v>1</v>
      </c>
      <c r="D9" s="1">
        <f t="shared" si="0"/>
        <v>1</v>
      </c>
      <c r="E9" s="1">
        <f t="shared" si="0"/>
        <v>0</v>
      </c>
      <c r="F9" s="2">
        <v>0</v>
      </c>
      <c r="G9" s="2">
        <v>0</v>
      </c>
      <c r="H9" s="2">
        <v>1</v>
      </c>
      <c r="I9" s="9">
        <v>0</v>
      </c>
    </row>
    <row r="10" spans="2:9" x14ac:dyDescent="0.25">
      <c r="B10" s="46" t="s">
        <v>43</v>
      </c>
      <c r="C10" s="40">
        <f>D10+E10</f>
        <v>1</v>
      </c>
      <c r="D10" s="40">
        <f t="shared" si="0"/>
        <v>0</v>
      </c>
      <c r="E10" s="40">
        <f t="shared" si="0"/>
        <v>1</v>
      </c>
      <c r="F10" s="41">
        <v>0</v>
      </c>
      <c r="G10" s="41">
        <v>0</v>
      </c>
      <c r="H10" s="41">
        <v>0</v>
      </c>
      <c r="I10" s="42">
        <v>1</v>
      </c>
    </row>
    <row r="11" spans="2:9" x14ac:dyDescent="0.25">
      <c r="B11" s="7" t="s">
        <v>44</v>
      </c>
      <c r="C11" s="7"/>
      <c r="D11" s="7"/>
      <c r="E11" s="7"/>
      <c r="F11" s="7"/>
      <c r="G11" s="7"/>
      <c r="H11" s="7"/>
      <c r="I11" s="7"/>
    </row>
    <row r="12" spans="2:9" x14ac:dyDescent="0.25">
      <c r="B12" s="47" t="s">
        <v>86</v>
      </c>
      <c r="C12" s="43">
        <f t="shared" ref="C12:C19" si="1">D12+E12</f>
        <v>1</v>
      </c>
      <c r="D12" s="43">
        <f t="shared" ref="D12:E19" si="2">F12+H12</f>
        <v>0</v>
      </c>
      <c r="E12" s="43">
        <f t="shared" si="2"/>
        <v>1</v>
      </c>
      <c r="F12" s="44">
        <v>0</v>
      </c>
      <c r="G12" s="44">
        <v>1</v>
      </c>
      <c r="H12" s="44">
        <v>0</v>
      </c>
      <c r="I12" s="45">
        <v>0</v>
      </c>
    </row>
    <row r="13" spans="2:9" x14ac:dyDescent="0.25">
      <c r="B13" s="8" t="s">
        <v>87</v>
      </c>
      <c r="C13" s="1">
        <f t="shared" si="1"/>
        <v>1</v>
      </c>
      <c r="D13" s="1">
        <f t="shared" si="2"/>
        <v>1</v>
      </c>
      <c r="E13" s="1">
        <f t="shared" si="2"/>
        <v>0</v>
      </c>
      <c r="F13" s="2">
        <v>0</v>
      </c>
      <c r="G13" s="2">
        <v>0</v>
      </c>
      <c r="H13" s="2">
        <v>1</v>
      </c>
      <c r="I13" s="9">
        <v>0</v>
      </c>
    </row>
    <row r="14" spans="2:9" x14ac:dyDescent="0.25">
      <c r="B14" s="8" t="s">
        <v>45</v>
      </c>
      <c r="C14" s="1">
        <f t="shared" si="1"/>
        <v>1</v>
      </c>
      <c r="D14" s="1">
        <f t="shared" si="2"/>
        <v>1</v>
      </c>
      <c r="E14" s="1">
        <f t="shared" si="2"/>
        <v>0</v>
      </c>
      <c r="F14" s="2">
        <v>1</v>
      </c>
      <c r="G14" s="2">
        <v>0</v>
      </c>
      <c r="H14" s="2">
        <v>0</v>
      </c>
      <c r="I14" s="9">
        <v>0</v>
      </c>
    </row>
    <row r="15" spans="2:9" x14ac:dyDescent="0.25">
      <c r="B15" s="8" t="s">
        <v>46</v>
      </c>
      <c r="C15" s="1">
        <f t="shared" si="1"/>
        <v>1</v>
      </c>
      <c r="D15" s="1">
        <f t="shared" si="2"/>
        <v>1</v>
      </c>
      <c r="E15" s="1">
        <f t="shared" si="2"/>
        <v>0</v>
      </c>
      <c r="F15" s="2">
        <v>0</v>
      </c>
      <c r="G15" s="2">
        <v>0</v>
      </c>
      <c r="H15" s="2">
        <v>1</v>
      </c>
      <c r="I15" s="9">
        <v>0</v>
      </c>
    </row>
    <row r="16" spans="2:9" x14ac:dyDescent="0.25">
      <c r="B16" s="8" t="s">
        <v>47</v>
      </c>
      <c r="C16" s="1">
        <f t="shared" si="1"/>
        <v>1</v>
      </c>
      <c r="D16" s="1">
        <f t="shared" si="2"/>
        <v>0</v>
      </c>
      <c r="E16" s="1">
        <f t="shared" si="2"/>
        <v>1</v>
      </c>
      <c r="F16" s="2">
        <v>0</v>
      </c>
      <c r="G16" s="2">
        <v>0</v>
      </c>
      <c r="H16" s="2">
        <v>0</v>
      </c>
      <c r="I16" s="9">
        <v>1</v>
      </c>
    </row>
    <row r="17" spans="2:9" x14ac:dyDescent="0.25">
      <c r="B17" s="27" t="s">
        <v>48</v>
      </c>
      <c r="C17" s="1">
        <f t="shared" si="1"/>
        <v>1</v>
      </c>
      <c r="D17" s="1">
        <f t="shared" si="2"/>
        <v>1</v>
      </c>
      <c r="E17" s="1">
        <f t="shared" si="2"/>
        <v>0</v>
      </c>
      <c r="F17" s="28">
        <v>1</v>
      </c>
      <c r="G17" s="28">
        <v>0</v>
      </c>
      <c r="H17" s="28">
        <v>0</v>
      </c>
      <c r="I17" s="29">
        <v>0</v>
      </c>
    </row>
    <row r="18" spans="2:9" x14ac:dyDescent="0.25">
      <c r="B18" s="27" t="s">
        <v>49</v>
      </c>
      <c r="C18" s="1">
        <f t="shared" si="1"/>
        <v>1</v>
      </c>
      <c r="D18" s="1">
        <f t="shared" si="2"/>
        <v>1</v>
      </c>
      <c r="E18" s="1">
        <f t="shared" si="2"/>
        <v>0</v>
      </c>
      <c r="F18" s="28">
        <v>1</v>
      </c>
      <c r="G18" s="28">
        <v>0</v>
      </c>
      <c r="H18" s="28">
        <v>0</v>
      </c>
      <c r="I18" s="29">
        <v>0</v>
      </c>
    </row>
    <row r="19" spans="2:9" x14ac:dyDescent="0.25">
      <c r="B19" s="27" t="s">
        <v>43</v>
      </c>
      <c r="C19" s="1">
        <f t="shared" si="1"/>
        <v>2</v>
      </c>
      <c r="D19" s="1">
        <f t="shared" si="2"/>
        <v>2</v>
      </c>
      <c r="E19" s="1">
        <f t="shared" si="2"/>
        <v>0</v>
      </c>
      <c r="F19" s="28">
        <v>0</v>
      </c>
      <c r="G19" s="28">
        <v>0</v>
      </c>
      <c r="H19" s="28">
        <v>2</v>
      </c>
      <c r="I19" s="29">
        <v>0</v>
      </c>
    </row>
    <row r="20" spans="2:9" x14ac:dyDescent="0.25">
      <c r="B20" s="12" t="s">
        <v>12</v>
      </c>
      <c r="C20" s="7"/>
      <c r="D20" s="7"/>
      <c r="E20" s="7"/>
      <c r="F20" s="7"/>
      <c r="G20" s="7"/>
      <c r="H20" s="7"/>
      <c r="I20" s="7"/>
    </row>
    <row r="21" spans="2:9" x14ac:dyDescent="0.25">
      <c r="B21" s="8" t="s">
        <v>50</v>
      </c>
      <c r="C21" s="1">
        <f>D21+E21</f>
        <v>1</v>
      </c>
      <c r="D21" s="1">
        <f t="shared" ref="D21:E24" si="3">F21+H21</f>
        <v>1</v>
      </c>
      <c r="E21" s="1">
        <f t="shared" si="3"/>
        <v>0</v>
      </c>
      <c r="F21" s="2">
        <v>0</v>
      </c>
      <c r="G21" s="2">
        <v>0</v>
      </c>
      <c r="H21" s="2">
        <v>1</v>
      </c>
      <c r="I21" s="9">
        <v>0</v>
      </c>
    </row>
    <row r="22" spans="2:9" x14ac:dyDescent="0.25">
      <c r="B22" s="8" t="s">
        <v>51</v>
      </c>
      <c r="C22" s="1">
        <f>D22+E22</f>
        <v>1</v>
      </c>
      <c r="D22" s="1">
        <f t="shared" si="3"/>
        <v>0</v>
      </c>
      <c r="E22" s="1">
        <f t="shared" si="3"/>
        <v>1</v>
      </c>
      <c r="F22" s="2">
        <v>0</v>
      </c>
      <c r="G22" s="2">
        <v>1</v>
      </c>
      <c r="H22" s="2">
        <v>0</v>
      </c>
      <c r="I22" s="9">
        <v>0</v>
      </c>
    </row>
    <row r="23" spans="2:9" x14ac:dyDescent="0.25">
      <c r="B23" s="8" t="s">
        <v>52</v>
      </c>
      <c r="C23" s="1">
        <f>D23+E23</f>
        <v>1</v>
      </c>
      <c r="D23" s="1">
        <f t="shared" si="3"/>
        <v>1</v>
      </c>
      <c r="E23" s="1">
        <f t="shared" si="3"/>
        <v>0</v>
      </c>
      <c r="F23" s="2">
        <v>1</v>
      </c>
      <c r="G23" s="2">
        <v>0</v>
      </c>
      <c r="H23" s="2">
        <v>0</v>
      </c>
      <c r="I23" s="9">
        <v>0</v>
      </c>
    </row>
    <row r="24" spans="2:9" x14ac:dyDescent="0.25">
      <c r="B24" s="8" t="s">
        <v>53</v>
      </c>
      <c r="C24" s="1">
        <f>D24+E24</f>
        <v>1</v>
      </c>
      <c r="D24" s="1">
        <f t="shared" si="3"/>
        <v>0</v>
      </c>
      <c r="E24" s="1">
        <f t="shared" si="3"/>
        <v>1</v>
      </c>
      <c r="F24" s="2">
        <v>0</v>
      </c>
      <c r="G24" s="2">
        <v>0</v>
      </c>
      <c r="H24" s="2">
        <v>0</v>
      </c>
      <c r="I24" s="9">
        <v>1</v>
      </c>
    </row>
    <row r="25" spans="2:9" x14ac:dyDescent="0.25">
      <c r="B25" s="11" t="s">
        <v>3</v>
      </c>
      <c r="C25" s="18">
        <f t="shared" ref="C25:I25" si="4">SUM(C8:C24)</f>
        <v>16</v>
      </c>
      <c r="D25" s="18">
        <f t="shared" si="4"/>
        <v>10</v>
      </c>
      <c r="E25" s="18">
        <f t="shared" si="4"/>
        <v>6</v>
      </c>
      <c r="F25" s="18">
        <f t="shared" si="4"/>
        <v>4</v>
      </c>
      <c r="G25" s="18">
        <f t="shared" si="4"/>
        <v>2</v>
      </c>
      <c r="H25" s="18">
        <f t="shared" si="4"/>
        <v>6</v>
      </c>
      <c r="I25" s="18">
        <f t="shared" si="4"/>
        <v>4</v>
      </c>
    </row>
    <row r="26" spans="2:9" x14ac:dyDescent="0.25">
      <c r="B26" s="70" t="s">
        <v>13</v>
      </c>
      <c r="C26" s="71"/>
      <c r="D26" s="71"/>
      <c r="E26" s="71"/>
      <c r="F26" s="71"/>
      <c r="G26" s="71"/>
      <c r="H26" s="71"/>
      <c r="I26" s="72"/>
    </row>
    <row r="27" spans="2:9" x14ac:dyDescent="0.25">
      <c r="B27" s="12" t="s">
        <v>55</v>
      </c>
      <c r="C27" s="1">
        <f>D27+E27</f>
        <v>2</v>
      </c>
      <c r="D27" s="1">
        <f t="shared" ref="D27:E30" si="5">F27+H27</f>
        <v>0</v>
      </c>
      <c r="E27" s="1">
        <f t="shared" si="5"/>
        <v>2</v>
      </c>
      <c r="F27" s="2">
        <v>0</v>
      </c>
      <c r="G27" s="2">
        <v>0</v>
      </c>
      <c r="H27" s="2">
        <v>0</v>
      </c>
      <c r="I27" s="9">
        <v>2</v>
      </c>
    </row>
    <row r="28" spans="2:9" x14ac:dyDescent="0.25">
      <c r="B28" s="12" t="s">
        <v>14</v>
      </c>
      <c r="C28" s="1">
        <f>D28+E28</f>
        <v>1</v>
      </c>
      <c r="D28" s="1">
        <f t="shared" si="5"/>
        <v>0</v>
      </c>
      <c r="E28" s="1">
        <f t="shared" si="5"/>
        <v>1</v>
      </c>
      <c r="F28" s="2">
        <f>SUM(F26:F27)</f>
        <v>0</v>
      </c>
      <c r="G28" s="2">
        <f>SUM(G26:G27)</f>
        <v>0</v>
      </c>
      <c r="H28" s="2">
        <f>SUM(H26:H27)</f>
        <v>0</v>
      </c>
      <c r="I28" s="9">
        <v>1</v>
      </c>
    </row>
    <row r="29" spans="2:9" x14ac:dyDescent="0.25">
      <c r="B29" s="12" t="s">
        <v>56</v>
      </c>
      <c r="C29" s="1">
        <f>D29+E29</f>
        <v>1</v>
      </c>
      <c r="D29" s="1">
        <f t="shared" si="5"/>
        <v>0</v>
      </c>
      <c r="E29" s="1">
        <f t="shared" si="5"/>
        <v>1</v>
      </c>
      <c r="F29" s="2">
        <v>0</v>
      </c>
      <c r="G29" s="2">
        <v>0</v>
      </c>
      <c r="H29" s="2">
        <v>0</v>
      </c>
      <c r="I29" s="9">
        <v>1</v>
      </c>
    </row>
    <row r="30" spans="2:9" x14ac:dyDescent="0.25">
      <c r="B30" s="12" t="s">
        <v>57</v>
      </c>
      <c r="C30" s="1">
        <f>D30+E30</f>
        <v>1</v>
      </c>
      <c r="D30" s="1">
        <f t="shared" si="5"/>
        <v>0</v>
      </c>
      <c r="E30" s="1">
        <f t="shared" si="5"/>
        <v>1</v>
      </c>
      <c r="F30" s="2">
        <v>0</v>
      </c>
      <c r="G30" s="2">
        <v>0</v>
      </c>
      <c r="H30" s="2">
        <v>0</v>
      </c>
      <c r="I30" s="30">
        <v>1</v>
      </c>
    </row>
    <row r="31" spans="2:9" x14ac:dyDescent="0.25">
      <c r="B31" s="12" t="s">
        <v>15</v>
      </c>
      <c r="C31" s="22"/>
      <c r="D31" s="22"/>
      <c r="E31" s="22"/>
      <c r="F31" s="22"/>
      <c r="G31" s="22"/>
      <c r="H31" s="22"/>
      <c r="I31" s="22"/>
    </row>
    <row r="32" spans="2:9" ht="15.75" x14ac:dyDescent="0.3">
      <c r="B32" s="23" t="s">
        <v>16</v>
      </c>
      <c r="C32" s="1">
        <f t="shared" ref="C32:C38" si="6">D32+E32</f>
        <v>1</v>
      </c>
      <c r="D32" s="1">
        <f t="shared" ref="D32:E38" si="7">F32+H32</f>
        <v>1</v>
      </c>
      <c r="E32" s="1">
        <f t="shared" si="7"/>
        <v>0</v>
      </c>
      <c r="F32" s="2">
        <v>0</v>
      </c>
      <c r="G32" s="2">
        <v>0</v>
      </c>
      <c r="H32" s="2">
        <v>1</v>
      </c>
      <c r="I32" s="9">
        <v>0</v>
      </c>
    </row>
    <row r="33" spans="2:9" ht="15.75" x14ac:dyDescent="0.3">
      <c r="B33" s="23" t="s">
        <v>17</v>
      </c>
      <c r="C33" s="1">
        <f t="shared" si="6"/>
        <v>5</v>
      </c>
      <c r="D33" s="1">
        <f t="shared" si="7"/>
        <v>2</v>
      </c>
      <c r="E33" s="1">
        <f t="shared" si="7"/>
        <v>3</v>
      </c>
      <c r="F33" s="2">
        <v>2</v>
      </c>
      <c r="G33" s="2">
        <v>3</v>
      </c>
      <c r="H33" s="2">
        <v>0</v>
      </c>
      <c r="I33" s="9">
        <v>0</v>
      </c>
    </row>
    <row r="34" spans="2:9" ht="15.75" x14ac:dyDescent="0.3">
      <c r="B34" s="23" t="s">
        <v>18</v>
      </c>
      <c r="C34" s="1">
        <f t="shared" si="6"/>
        <v>1</v>
      </c>
      <c r="D34" s="1">
        <f t="shared" si="7"/>
        <v>0</v>
      </c>
      <c r="E34" s="1">
        <f t="shared" si="7"/>
        <v>1</v>
      </c>
      <c r="F34" s="2">
        <v>0</v>
      </c>
      <c r="G34" s="2">
        <v>1</v>
      </c>
      <c r="H34" s="2">
        <v>0</v>
      </c>
      <c r="I34" s="9">
        <v>0</v>
      </c>
    </row>
    <row r="35" spans="2:9" ht="15.75" x14ac:dyDescent="0.3">
      <c r="B35" s="23" t="s">
        <v>19</v>
      </c>
      <c r="C35" s="1">
        <f t="shared" si="6"/>
        <v>1</v>
      </c>
      <c r="D35" s="1">
        <f t="shared" si="7"/>
        <v>1</v>
      </c>
      <c r="E35" s="1">
        <f t="shared" si="7"/>
        <v>0</v>
      </c>
      <c r="F35" s="2">
        <v>0</v>
      </c>
      <c r="G35" s="2">
        <v>0</v>
      </c>
      <c r="H35" s="2">
        <v>1</v>
      </c>
      <c r="I35" s="9">
        <v>0</v>
      </c>
    </row>
    <row r="36" spans="2:9" ht="15.75" x14ac:dyDescent="0.3">
      <c r="B36" s="23" t="s">
        <v>20</v>
      </c>
      <c r="C36" s="1">
        <f t="shared" si="6"/>
        <v>3</v>
      </c>
      <c r="D36" s="1">
        <f t="shared" si="7"/>
        <v>2</v>
      </c>
      <c r="E36" s="1">
        <f t="shared" si="7"/>
        <v>1</v>
      </c>
      <c r="F36" s="2">
        <v>2</v>
      </c>
      <c r="G36" s="2">
        <v>1</v>
      </c>
      <c r="H36" s="2">
        <v>0</v>
      </c>
      <c r="I36" s="9">
        <v>0</v>
      </c>
    </row>
    <row r="37" spans="2:9" ht="15.75" x14ac:dyDescent="0.3">
      <c r="B37" s="23" t="s">
        <v>21</v>
      </c>
      <c r="C37" s="1">
        <f t="shared" si="6"/>
        <v>2</v>
      </c>
      <c r="D37" s="1">
        <f t="shared" si="7"/>
        <v>1</v>
      </c>
      <c r="E37" s="1">
        <f t="shared" si="7"/>
        <v>1</v>
      </c>
      <c r="F37" s="2">
        <v>0</v>
      </c>
      <c r="G37" s="2">
        <v>1</v>
      </c>
      <c r="H37" s="2">
        <v>1</v>
      </c>
      <c r="I37" s="9">
        <v>0</v>
      </c>
    </row>
    <row r="38" spans="2:9" ht="15.75" x14ac:dyDescent="0.3">
      <c r="B38" s="23" t="s">
        <v>22</v>
      </c>
      <c r="C38" s="1">
        <f t="shared" si="6"/>
        <v>2</v>
      </c>
      <c r="D38" s="1">
        <f t="shared" si="7"/>
        <v>2</v>
      </c>
      <c r="E38" s="1">
        <f t="shared" si="7"/>
        <v>0</v>
      </c>
      <c r="F38" s="2">
        <v>1</v>
      </c>
      <c r="G38" s="2">
        <v>0</v>
      </c>
      <c r="H38" s="2">
        <v>1</v>
      </c>
      <c r="I38" s="9">
        <v>0</v>
      </c>
    </row>
    <row r="39" spans="2:9" x14ac:dyDescent="0.25">
      <c r="B39" s="11" t="s">
        <v>23</v>
      </c>
      <c r="C39" s="11">
        <f t="shared" ref="C39:I39" si="8">SUM(C27:C38)</f>
        <v>20</v>
      </c>
      <c r="D39" s="11">
        <f t="shared" si="8"/>
        <v>9</v>
      </c>
      <c r="E39" s="11">
        <f t="shared" si="8"/>
        <v>11</v>
      </c>
      <c r="F39" s="11">
        <f t="shared" si="8"/>
        <v>5</v>
      </c>
      <c r="G39" s="11">
        <f t="shared" si="8"/>
        <v>6</v>
      </c>
      <c r="H39" s="11">
        <f t="shared" si="8"/>
        <v>4</v>
      </c>
      <c r="I39" s="11">
        <f t="shared" si="8"/>
        <v>5</v>
      </c>
    </row>
    <row r="40" spans="2:9" x14ac:dyDescent="0.25">
      <c r="B40" s="70" t="s">
        <v>24</v>
      </c>
      <c r="C40" s="71"/>
      <c r="D40" s="71"/>
      <c r="E40" s="71"/>
      <c r="F40" s="71"/>
      <c r="G40" s="71"/>
      <c r="H40" s="71"/>
      <c r="I40" s="72"/>
    </row>
    <row r="41" spans="2:9" x14ac:dyDescent="0.25">
      <c r="B41" s="21" t="s">
        <v>28</v>
      </c>
      <c r="C41" s="22"/>
      <c r="D41" s="22"/>
      <c r="E41" s="22"/>
      <c r="F41" s="22"/>
      <c r="G41" s="22"/>
      <c r="H41" s="22"/>
      <c r="I41" s="22"/>
    </row>
    <row r="42" spans="2:9" x14ac:dyDescent="0.25">
      <c r="B42" s="48" t="s">
        <v>58</v>
      </c>
      <c r="C42" s="1">
        <f>D42+E42</f>
        <v>2</v>
      </c>
      <c r="D42" s="1">
        <f t="shared" ref="D42:E45" si="9">F42+H42</f>
        <v>1</v>
      </c>
      <c r="E42" s="1">
        <f t="shared" si="9"/>
        <v>1</v>
      </c>
      <c r="F42" s="1">
        <v>0</v>
      </c>
      <c r="G42" s="1">
        <v>0</v>
      </c>
      <c r="H42" s="1">
        <v>1</v>
      </c>
      <c r="I42" s="1">
        <v>1</v>
      </c>
    </row>
    <row r="43" spans="2:9" x14ac:dyDescent="0.25">
      <c r="B43" s="48" t="s">
        <v>59</v>
      </c>
      <c r="C43" s="1">
        <f>D43+E43</f>
        <v>2</v>
      </c>
      <c r="D43" s="1">
        <f t="shared" si="9"/>
        <v>1</v>
      </c>
      <c r="E43" s="1">
        <f t="shared" si="9"/>
        <v>1</v>
      </c>
      <c r="F43" s="1">
        <v>0</v>
      </c>
      <c r="G43" s="1">
        <v>0</v>
      </c>
      <c r="H43" s="1">
        <v>1</v>
      </c>
      <c r="I43" s="1">
        <v>1</v>
      </c>
    </row>
    <row r="44" spans="2:9" x14ac:dyDescent="0.25">
      <c r="B44" s="48" t="s">
        <v>60</v>
      </c>
      <c r="C44" s="1">
        <f>D44+E44</f>
        <v>2</v>
      </c>
      <c r="D44" s="1">
        <f t="shared" si="9"/>
        <v>1</v>
      </c>
      <c r="E44" s="1">
        <f t="shared" si="9"/>
        <v>1</v>
      </c>
      <c r="F44" s="1">
        <v>0</v>
      </c>
      <c r="G44" s="1">
        <v>1</v>
      </c>
      <c r="H44" s="1">
        <v>1</v>
      </c>
      <c r="I44" s="1">
        <v>0</v>
      </c>
    </row>
    <row r="45" spans="2:9" x14ac:dyDescent="0.25">
      <c r="B45" s="48" t="s">
        <v>89</v>
      </c>
      <c r="C45" s="1">
        <f>D45+E45</f>
        <v>8</v>
      </c>
      <c r="D45" s="1">
        <f t="shared" si="9"/>
        <v>6</v>
      </c>
      <c r="E45" s="1">
        <f t="shared" si="9"/>
        <v>2</v>
      </c>
      <c r="F45" s="1">
        <v>5</v>
      </c>
      <c r="G45" s="1">
        <v>1</v>
      </c>
      <c r="H45" s="1">
        <v>1</v>
      </c>
      <c r="I45" s="1">
        <v>1</v>
      </c>
    </row>
    <row r="46" spans="2:9" x14ac:dyDescent="0.25">
      <c r="B46" s="11" t="s">
        <v>25</v>
      </c>
      <c r="C46" s="11">
        <f t="shared" ref="C46:I46" si="10">SUM(C42:C45)</f>
        <v>14</v>
      </c>
      <c r="D46" s="11">
        <f t="shared" si="10"/>
        <v>9</v>
      </c>
      <c r="E46" s="11">
        <f t="shared" si="10"/>
        <v>5</v>
      </c>
      <c r="F46" s="11">
        <f t="shared" si="10"/>
        <v>5</v>
      </c>
      <c r="G46" s="11">
        <f t="shared" si="10"/>
        <v>2</v>
      </c>
      <c r="H46" s="11">
        <f t="shared" si="10"/>
        <v>4</v>
      </c>
      <c r="I46" s="11">
        <f t="shared" si="10"/>
        <v>3</v>
      </c>
    </row>
    <row r="47" spans="2:9" x14ac:dyDescent="0.25">
      <c r="B47" s="70" t="s">
        <v>26</v>
      </c>
      <c r="C47" s="71"/>
      <c r="D47" s="71"/>
      <c r="E47" s="71"/>
      <c r="F47" s="71"/>
      <c r="G47" s="71"/>
      <c r="H47" s="71"/>
      <c r="I47" s="72"/>
    </row>
    <row r="48" spans="2:9" x14ac:dyDescent="0.25">
      <c r="B48" s="21" t="s">
        <v>29</v>
      </c>
      <c r="C48" s="22"/>
      <c r="D48" s="22"/>
      <c r="E48" s="22"/>
      <c r="F48" s="22"/>
      <c r="G48" s="22"/>
      <c r="H48" s="22"/>
      <c r="I48" s="22"/>
    </row>
    <row r="49" spans="2:9" x14ac:dyDescent="0.25">
      <c r="B49" s="49" t="s">
        <v>61</v>
      </c>
      <c r="C49" s="1">
        <f t="shared" ref="C49:C54" si="11">D49+E49</f>
        <v>2</v>
      </c>
      <c r="D49" s="1">
        <f t="shared" ref="D49:E54" si="12">F49+H49</f>
        <v>2</v>
      </c>
      <c r="E49" s="1">
        <f t="shared" si="12"/>
        <v>0</v>
      </c>
      <c r="F49" s="50">
        <v>0</v>
      </c>
      <c r="G49" s="50">
        <f>SUM(L49,O49)</f>
        <v>0</v>
      </c>
      <c r="H49" s="50">
        <v>2</v>
      </c>
      <c r="I49" s="50">
        <v>0</v>
      </c>
    </row>
    <row r="50" spans="2:9" x14ac:dyDescent="0.25">
      <c r="B50" s="49" t="s">
        <v>62</v>
      </c>
      <c r="C50" s="1">
        <f t="shared" si="11"/>
        <v>5</v>
      </c>
      <c r="D50" s="1">
        <f t="shared" si="12"/>
        <v>2</v>
      </c>
      <c r="E50" s="1">
        <f t="shared" si="12"/>
        <v>3</v>
      </c>
      <c r="F50" s="50">
        <v>1</v>
      </c>
      <c r="G50" s="50">
        <v>1</v>
      </c>
      <c r="H50" s="50">
        <v>1</v>
      </c>
      <c r="I50" s="50">
        <v>2</v>
      </c>
    </row>
    <row r="51" spans="2:9" x14ac:dyDescent="0.25">
      <c r="B51" s="49" t="s">
        <v>63</v>
      </c>
      <c r="C51" s="1">
        <f t="shared" si="11"/>
        <v>4</v>
      </c>
      <c r="D51" s="1">
        <f t="shared" si="12"/>
        <v>2</v>
      </c>
      <c r="E51" s="1">
        <f t="shared" si="12"/>
        <v>2</v>
      </c>
      <c r="F51" s="50">
        <v>1</v>
      </c>
      <c r="G51" s="50">
        <v>1</v>
      </c>
      <c r="H51" s="50">
        <v>1</v>
      </c>
      <c r="I51" s="50">
        <v>1</v>
      </c>
    </row>
    <row r="52" spans="2:9" x14ac:dyDescent="0.25">
      <c r="B52" s="49" t="s">
        <v>64</v>
      </c>
      <c r="C52" s="1">
        <f t="shared" si="11"/>
        <v>4</v>
      </c>
      <c r="D52" s="1">
        <f t="shared" si="12"/>
        <v>4</v>
      </c>
      <c r="E52" s="1">
        <f t="shared" si="12"/>
        <v>0</v>
      </c>
      <c r="F52" s="51">
        <v>0</v>
      </c>
      <c r="G52" s="51">
        <f>SUM(L52,O52)</f>
        <v>0</v>
      </c>
      <c r="H52" s="51">
        <v>4</v>
      </c>
      <c r="I52" s="51">
        <f>SUM(N52,Q52)</f>
        <v>0</v>
      </c>
    </row>
    <row r="53" spans="2:9" x14ac:dyDescent="0.25">
      <c r="B53" s="49" t="s">
        <v>65</v>
      </c>
      <c r="C53" s="1">
        <f t="shared" si="11"/>
        <v>2</v>
      </c>
      <c r="D53" s="1">
        <f t="shared" si="12"/>
        <v>1</v>
      </c>
      <c r="E53" s="1">
        <f t="shared" si="12"/>
        <v>1</v>
      </c>
      <c r="F53" s="50">
        <v>0</v>
      </c>
      <c r="G53" s="50">
        <f>SUM(L53,O53)</f>
        <v>0</v>
      </c>
      <c r="H53" s="50">
        <v>1</v>
      </c>
      <c r="I53" s="50">
        <v>1</v>
      </c>
    </row>
    <row r="54" spans="2:9" x14ac:dyDescent="0.25">
      <c r="B54" s="49" t="s">
        <v>66</v>
      </c>
      <c r="C54" s="1">
        <f t="shared" si="11"/>
        <v>3</v>
      </c>
      <c r="D54" s="1">
        <f t="shared" si="12"/>
        <v>3</v>
      </c>
      <c r="E54" s="1">
        <f t="shared" si="12"/>
        <v>0</v>
      </c>
      <c r="F54" s="50">
        <v>2</v>
      </c>
      <c r="G54" s="50">
        <v>0</v>
      </c>
      <c r="H54" s="50">
        <v>1</v>
      </c>
      <c r="I54" s="50">
        <v>0</v>
      </c>
    </row>
    <row r="55" spans="2:9" x14ac:dyDescent="0.25">
      <c r="B55" s="11" t="s">
        <v>27</v>
      </c>
      <c r="C55" s="11">
        <f t="shared" ref="C55:I55" si="13">SUM(C49:C54)</f>
        <v>20</v>
      </c>
      <c r="D55" s="11">
        <f t="shared" si="13"/>
        <v>14</v>
      </c>
      <c r="E55" s="11">
        <f t="shared" si="13"/>
        <v>6</v>
      </c>
      <c r="F55" s="11">
        <f t="shared" si="13"/>
        <v>4</v>
      </c>
      <c r="G55" s="11">
        <f t="shared" si="13"/>
        <v>2</v>
      </c>
      <c r="H55" s="11">
        <f t="shared" si="13"/>
        <v>10</v>
      </c>
      <c r="I55" s="11">
        <f t="shared" si="13"/>
        <v>4</v>
      </c>
    </row>
    <row r="56" spans="2:9" x14ac:dyDescent="0.25">
      <c r="B56" s="64" t="s">
        <v>4</v>
      </c>
      <c r="C56" s="65"/>
      <c r="D56" s="65"/>
      <c r="E56" s="65"/>
      <c r="F56" s="65"/>
      <c r="G56" s="65"/>
      <c r="H56" s="65"/>
      <c r="I56" s="66"/>
    </row>
    <row r="57" spans="2:9" x14ac:dyDescent="0.25">
      <c r="B57" s="12" t="s">
        <v>5</v>
      </c>
      <c r="C57" s="6"/>
      <c r="D57" s="6"/>
      <c r="E57" s="6"/>
      <c r="F57" s="6"/>
      <c r="G57" s="6"/>
      <c r="H57" s="6"/>
      <c r="I57" s="10"/>
    </row>
    <row r="58" spans="2:9" x14ac:dyDescent="0.25">
      <c r="B58" s="13" t="s">
        <v>6</v>
      </c>
      <c r="C58" s="1">
        <f>D58+E58</f>
        <v>1</v>
      </c>
      <c r="D58" s="1">
        <f t="shared" ref="D58:E60" si="14">F58+H58</f>
        <v>1</v>
      </c>
      <c r="E58" s="1">
        <f t="shared" si="14"/>
        <v>0</v>
      </c>
      <c r="F58" s="5">
        <v>0</v>
      </c>
      <c r="G58" s="5">
        <v>0</v>
      </c>
      <c r="H58" s="3">
        <v>1</v>
      </c>
      <c r="I58" s="14">
        <v>0</v>
      </c>
    </row>
    <row r="59" spans="2:9" x14ac:dyDescent="0.25">
      <c r="B59" s="13" t="s">
        <v>11</v>
      </c>
      <c r="C59" s="1">
        <f>D59+E59</f>
        <v>1</v>
      </c>
      <c r="D59" s="1">
        <f t="shared" si="14"/>
        <v>0</v>
      </c>
      <c r="E59" s="1">
        <f t="shared" si="14"/>
        <v>1</v>
      </c>
      <c r="F59" s="5">
        <v>0</v>
      </c>
      <c r="G59" s="5">
        <v>0</v>
      </c>
      <c r="H59" s="3">
        <v>0</v>
      </c>
      <c r="I59" s="14">
        <v>1</v>
      </c>
    </row>
    <row r="60" spans="2:9" x14ac:dyDescent="0.25">
      <c r="B60" s="13" t="s">
        <v>10</v>
      </c>
      <c r="C60" s="1">
        <f>D60+E60</f>
        <v>1</v>
      </c>
      <c r="D60" s="1">
        <f t="shared" si="14"/>
        <v>0</v>
      </c>
      <c r="E60" s="1">
        <f t="shared" si="14"/>
        <v>1</v>
      </c>
      <c r="F60" s="5">
        <v>0</v>
      </c>
      <c r="G60" s="5">
        <v>0</v>
      </c>
      <c r="H60" s="3">
        <v>0</v>
      </c>
      <c r="I60" s="14">
        <v>1</v>
      </c>
    </row>
    <row r="61" spans="2:9" x14ac:dyDescent="0.25">
      <c r="B61" s="12" t="s">
        <v>7</v>
      </c>
      <c r="C61" s="6"/>
      <c r="D61" s="6"/>
      <c r="E61" s="6"/>
      <c r="F61" s="6"/>
      <c r="G61" s="6"/>
      <c r="H61" s="6"/>
      <c r="I61" s="10"/>
    </row>
    <row r="62" spans="2:9" x14ac:dyDescent="0.25">
      <c r="B62" s="13" t="s">
        <v>54</v>
      </c>
      <c r="C62" s="1">
        <v>2</v>
      </c>
      <c r="D62" s="1">
        <v>2</v>
      </c>
      <c r="E62" s="1">
        <v>0</v>
      </c>
      <c r="F62" s="4">
        <v>0</v>
      </c>
      <c r="G62" s="5">
        <v>0</v>
      </c>
      <c r="H62" s="3">
        <v>2</v>
      </c>
      <c r="I62" s="14">
        <v>0</v>
      </c>
    </row>
    <row r="63" spans="2:9" ht="15.75" thickBot="1" x14ac:dyDescent="0.3">
      <c r="B63" s="37" t="s">
        <v>8</v>
      </c>
      <c r="C63" s="38">
        <f t="shared" ref="C63:I63" si="15">SUM(C58:C62)</f>
        <v>5</v>
      </c>
      <c r="D63" s="38">
        <f t="shared" si="15"/>
        <v>3</v>
      </c>
      <c r="E63" s="38">
        <f t="shared" si="15"/>
        <v>2</v>
      </c>
      <c r="F63" s="38">
        <f t="shared" si="15"/>
        <v>0</v>
      </c>
      <c r="G63" s="38">
        <f t="shared" si="15"/>
        <v>0</v>
      </c>
      <c r="H63" s="38">
        <f t="shared" si="15"/>
        <v>3</v>
      </c>
      <c r="I63" s="39">
        <f t="shared" si="15"/>
        <v>2</v>
      </c>
    </row>
    <row r="64" spans="2:9" ht="18" customHeight="1" x14ac:dyDescent="0.25">
      <c r="B64" s="25" t="s">
        <v>1</v>
      </c>
      <c r="C64" s="24">
        <f t="shared" ref="C64:I64" si="16">C25+C39+C46+C55+C63</f>
        <v>75</v>
      </c>
      <c r="D64" s="24">
        <f t="shared" si="16"/>
        <v>45</v>
      </c>
      <c r="E64" s="24">
        <f t="shared" si="16"/>
        <v>30</v>
      </c>
      <c r="F64" s="24">
        <f t="shared" si="16"/>
        <v>18</v>
      </c>
      <c r="G64" s="24">
        <f t="shared" si="16"/>
        <v>12</v>
      </c>
      <c r="H64" s="24">
        <f t="shared" si="16"/>
        <v>27</v>
      </c>
      <c r="I64" s="24">
        <f t="shared" si="16"/>
        <v>18</v>
      </c>
    </row>
    <row r="66" spans="3:3" ht="15.75" thickBot="1" x14ac:dyDescent="0.3"/>
    <row r="67" spans="3:3" x14ac:dyDescent="0.25">
      <c r="C67" s="73" t="s">
        <v>34</v>
      </c>
    </row>
    <row r="68" spans="3:3" ht="15.75" thickBot="1" x14ac:dyDescent="0.3">
      <c r="C68" s="74"/>
    </row>
    <row r="69" spans="3:3" x14ac:dyDescent="0.25">
      <c r="C69" s="34" t="s">
        <v>35</v>
      </c>
    </row>
    <row r="70" spans="3:3" x14ac:dyDescent="0.25">
      <c r="C70" s="35" t="s">
        <v>36</v>
      </c>
    </row>
    <row r="71" spans="3:3" x14ac:dyDescent="0.25">
      <c r="C71" s="35" t="s">
        <v>37</v>
      </c>
    </row>
    <row r="72" spans="3:3" x14ac:dyDescent="0.25">
      <c r="C72" s="35" t="s">
        <v>38</v>
      </c>
    </row>
    <row r="73" spans="3:3" ht="15.75" thickBot="1" x14ac:dyDescent="0.3">
      <c r="C73" s="36" t="s">
        <v>39</v>
      </c>
    </row>
  </sheetData>
  <autoFilter ref="F5:I64"/>
  <mergeCells count="13">
    <mergeCell ref="B2:I2"/>
    <mergeCell ref="B4:B5"/>
    <mergeCell ref="C4:C5"/>
    <mergeCell ref="D4:D5"/>
    <mergeCell ref="E4:E5"/>
    <mergeCell ref="B6:I6"/>
    <mergeCell ref="F4:G4"/>
    <mergeCell ref="H4:I4"/>
    <mergeCell ref="B26:I26"/>
    <mergeCell ref="C67:C68"/>
    <mergeCell ref="B40:I40"/>
    <mergeCell ref="B47:I47"/>
    <mergeCell ref="B56:I56"/>
  </mergeCells>
  <pageMargins left="0.7" right="0.7" top="0.75" bottom="0.75" header="0.3" footer="0.5"/>
  <pageSetup orientation="portrait" r:id="rId1"/>
  <headerFooter>
    <oddFooter>&amp;C&amp;"Candara,Bold"&amp;11 Capgemini 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Question Set</vt:lpstr>
      <vt:lpstr>Dia for Row 31</vt:lpstr>
      <vt:lpstr>Dia for Row 33</vt:lpstr>
      <vt:lpstr>Dia for Row 34</vt:lpstr>
      <vt:lpstr>(Informatica+Cognos) </vt:lpstr>
    </vt:vector>
  </TitlesOfParts>
  <Company>IGATECORP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Ganesh Desai</dc:creator>
  <cp:lastModifiedBy>Bhatia, Vanshaj</cp:lastModifiedBy>
  <cp:lastPrinted>2015-04-09T08:33:04Z</cp:lastPrinted>
  <dcterms:created xsi:type="dcterms:W3CDTF">2015-04-08T06:00:04Z</dcterms:created>
  <dcterms:modified xsi:type="dcterms:W3CDTF">2018-09-19T10:03:47Z</dcterms:modified>
</cp:coreProperties>
</file>